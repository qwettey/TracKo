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bask\OneDrive\Desktop\"/>
    </mc:Choice>
  </mc:AlternateContent>
  <xr:revisionPtr revIDLastSave="0" documentId="13_ncr:1_{FB26C2DE-247D-4B5D-8298-518F66F1399B}" xr6:coauthVersionLast="47" xr6:coauthVersionMax="47" xr10:uidLastSave="{00000000-0000-0000-0000-000000000000}"/>
  <bookViews>
    <workbookView xWindow="5310" yWindow="2865" windowWidth="26535" windowHeight="13365" tabRatio="808" activeTab="1" xr2:uid="{00000000-000D-0000-FFFF-FFFF00000000}"/>
  </bookViews>
  <sheets>
    <sheet name="ÖZET" sheetId="17" r:id="rId1"/>
    <sheet name="SATIN ALMA" sheetId="10" r:id="rId2"/>
    <sheet name="ANTREPO" sheetId="12" r:id="rId3"/>
    <sheet name="HENDEK-3" sheetId="13" r:id="rId4"/>
    <sheet name="ÜRETİM" sheetId="14" r:id="rId5"/>
    <sheet name="GİRİŞ ANALİZİ" sheetId="15" r:id="rId6"/>
    <sheet name="ÇIKIŞ ANALİZİ" sheetId="16" r:id="rId7"/>
    <sheet name="HARMAN" sheetId="18" r:id="rId8"/>
  </sheets>
  <definedNames>
    <definedName name="_xlnm._FilterDatabase" localSheetId="5" hidden="1">'GİRİŞ ANALİZİ'!$B$1:$V$60</definedName>
    <definedName name="_xlnm._FilterDatabase" localSheetId="3" hidden="1">'HENDEK-3'!$A$1:$M$1</definedName>
    <definedName name="_xlnm._FilterDatabase" localSheetId="1" hidden="1">'SATIN ALMA'!$A$1:$AD$499</definedName>
    <definedName name="_xlnm.Print_Area" localSheetId="1">'SATIN ALMA'!$B$1:$W$42</definedName>
    <definedName name="_xlnm.Print_Titles" localSheetId="6">'ÇIKIŞ ANALİZİ'!$1:$1</definedName>
    <definedName name="_xlnm.Print_Titles" localSheetId="5">'GİRİŞ ANALİZİ'!$1:$1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E11" i="12" l="1"/>
  <c r="E12" i="12"/>
  <c r="E13" i="12"/>
  <c r="E14" i="12"/>
  <c r="E15" i="12"/>
  <c r="N8" i="15" l="1"/>
  <c r="N35" i="15"/>
  <c r="B15" i="12" l="1"/>
  <c r="C15" i="12"/>
  <c r="D15" i="12"/>
  <c r="G15" i="12"/>
  <c r="H15" i="12"/>
  <c r="I15" i="12"/>
  <c r="J15" i="12"/>
  <c r="K15" i="12"/>
  <c r="L15" i="12"/>
  <c r="G7" i="12"/>
  <c r="H7" i="12"/>
  <c r="I7" i="12"/>
  <c r="J7" i="12"/>
  <c r="K7" i="12"/>
  <c r="L7" i="12"/>
  <c r="G8" i="12"/>
  <c r="H8" i="12"/>
  <c r="I8" i="12"/>
  <c r="J8" i="12"/>
  <c r="K8" i="12"/>
  <c r="L8" i="12"/>
  <c r="G9" i="12"/>
  <c r="H9" i="12"/>
  <c r="I9" i="12"/>
  <c r="J9" i="12"/>
  <c r="K9" i="12"/>
  <c r="L9" i="12"/>
  <c r="G10" i="12"/>
  <c r="H10" i="12"/>
  <c r="I10" i="12"/>
  <c r="J10" i="12"/>
  <c r="K10" i="12"/>
  <c r="L10" i="12"/>
  <c r="G11" i="12"/>
  <c r="H11" i="12"/>
  <c r="I11" i="12"/>
  <c r="J11" i="12"/>
  <c r="K11" i="12"/>
  <c r="L11" i="12"/>
  <c r="G12" i="12"/>
  <c r="H12" i="12"/>
  <c r="I12" i="12"/>
  <c r="J12" i="12"/>
  <c r="K12" i="12"/>
  <c r="L12" i="12"/>
  <c r="G13" i="12"/>
  <c r="H13" i="12"/>
  <c r="I13" i="12"/>
  <c r="J13" i="12"/>
  <c r="K13" i="12"/>
  <c r="L13" i="12"/>
  <c r="G14" i="12"/>
  <c r="H14" i="12"/>
  <c r="I14" i="12"/>
  <c r="J14" i="12"/>
  <c r="K14" i="12"/>
  <c r="L14" i="12"/>
  <c r="B7" i="12"/>
  <c r="C7" i="12"/>
  <c r="B8" i="12"/>
  <c r="C8" i="12"/>
  <c r="B9" i="12"/>
  <c r="C9" i="12"/>
  <c r="B10" i="12"/>
  <c r="C10" i="12"/>
  <c r="B11" i="12"/>
  <c r="C11" i="12"/>
  <c r="D11" i="12"/>
  <c r="B12" i="12"/>
  <c r="C12" i="12"/>
  <c r="D12" i="12"/>
  <c r="B13" i="12"/>
  <c r="C13" i="12"/>
  <c r="D13" i="12"/>
  <c r="B14" i="12"/>
  <c r="C14" i="12"/>
  <c r="D14" i="12"/>
  <c r="AA35" i="10"/>
  <c r="AA36" i="10"/>
  <c r="AA37" i="10"/>
  <c r="AA38" i="10"/>
  <c r="A15" i="12"/>
  <c r="A14" i="12"/>
  <c r="A12" i="12"/>
  <c r="A13" i="12"/>
  <c r="A11" i="12"/>
  <c r="A9" i="12"/>
  <c r="A8" i="12"/>
  <c r="A10" i="12"/>
  <c r="A7" i="12"/>
  <c r="I3" i="18" l="1"/>
  <c r="I4" i="18"/>
  <c r="D13" i="18"/>
  <c r="D4" i="18"/>
  <c r="D3" i="18"/>
  <c r="B4" i="18"/>
  <c r="C3" i="18"/>
  <c r="B3" i="18"/>
  <c r="C13" i="18"/>
  <c r="B10" i="18"/>
  <c r="B11" i="18"/>
  <c r="B12" i="18"/>
  <c r="B13" i="18"/>
  <c r="B14" i="18"/>
  <c r="B8" i="18" l="1"/>
  <c r="B9" i="18"/>
  <c r="X33" i="10" l="1"/>
  <c r="F37" i="15" l="1"/>
  <c r="N37" i="15"/>
  <c r="F38" i="15"/>
  <c r="N38" i="15"/>
  <c r="F39" i="15"/>
  <c r="N39" i="15"/>
  <c r="F40" i="15"/>
  <c r="N40" i="15"/>
  <c r="F41" i="15"/>
  <c r="N41" i="15"/>
  <c r="F42" i="15"/>
  <c r="N42" i="15"/>
  <c r="F43" i="15"/>
  <c r="N43" i="15"/>
  <c r="F44" i="15"/>
  <c r="N44" i="15"/>
  <c r="F45" i="15"/>
  <c r="N45" i="15"/>
  <c r="F46" i="15"/>
  <c r="N46" i="15"/>
  <c r="F47" i="15"/>
  <c r="N47" i="15"/>
  <c r="F48" i="15"/>
  <c r="N48" i="15"/>
  <c r="F49" i="15"/>
  <c r="N49" i="15"/>
  <c r="F50" i="15"/>
  <c r="N50" i="15"/>
  <c r="F51" i="15"/>
  <c r="N51" i="15"/>
  <c r="F52" i="15"/>
  <c r="N52" i="15"/>
  <c r="F53" i="15"/>
  <c r="N53" i="15"/>
  <c r="F54" i="15"/>
  <c r="N54" i="15"/>
  <c r="F55" i="15"/>
  <c r="N55" i="15"/>
  <c r="F56" i="15"/>
  <c r="N56" i="15"/>
  <c r="F57" i="15"/>
  <c r="N57" i="15"/>
  <c r="F58" i="15"/>
  <c r="N58" i="15"/>
  <c r="F59" i="15"/>
  <c r="N59" i="15"/>
  <c r="F60" i="15"/>
  <c r="N60" i="15"/>
  <c r="N67" i="10" l="1"/>
  <c r="O67" i="10" s="1"/>
  <c r="D79" i="10" l="1"/>
  <c r="K79" i="10"/>
  <c r="L79" i="10" s="1"/>
  <c r="N79" i="10"/>
  <c r="O79" i="10" s="1"/>
  <c r="X79" i="10"/>
  <c r="AA79" i="10"/>
  <c r="D80" i="10"/>
  <c r="K80" i="10"/>
  <c r="L80" i="10" s="1"/>
  <c r="N80" i="10"/>
  <c r="O80" i="10" s="1"/>
  <c r="X80" i="10"/>
  <c r="AA80" i="10"/>
  <c r="D81" i="10"/>
  <c r="K81" i="10"/>
  <c r="L81" i="10" s="1"/>
  <c r="N81" i="10"/>
  <c r="O81" i="10" s="1"/>
  <c r="X81" i="10"/>
  <c r="AA81" i="10"/>
  <c r="D82" i="10"/>
  <c r="K82" i="10"/>
  <c r="L82" i="10" s="1"/>
  <c r="N82" i="10"/>
  <c r="O82" i="10" s="1"/>
  <c r="X82" i="10"/>
  <c r="AA82" i="10"/>
  <c r="D83" i="10"/>
  <c r="K83" i="10"/>
  <c r="L83" i="10" s="1"/>
  <c r="N83" i="10"/>
  <c r="O83" i="10" s="1"/>
  <c r="X83" i="10"/>
  <c r="AA83" i="10"/>
  <c r="D84" i="10"/>
  <c r="K84" i="10"/>
  <c r="L84" i="10" s="1"/>
  <c r="N84" i="10"/>
  <c r="O84" i="10" s="1"/>
  <c r="X84" i="10"/>
  <c r="AA84" i="10"/>
  <c r="D85" i="10"/>
  <c r="K85" i="10"/>
  <c r="L85" i="10" s="1"/>
  <c r="N85" i="10"/>
  <c r="O85" i="10" s="1"/>
  <c r="X85" i="10"/>
  <c r="AA85" i="10"/>
  <c r="D86" i="10"/>
  <c r="K86" i="10"/>
  <c r="L86" i="10" s="1"/>
  <c r="N86" i="10"/>
  <c r="O86" i="10" s="1"/>
  <c r="X86" i="10"/>
  <c r="AA86" i="10"/>
  <c r="D87" i="10"/>
  <c r="K87" i="10"/>
  <c r="L87" i="10" s="1"/>
  <c r="N87" i="10"/>
  <c r="O87" i="10" s="1"/>
  <c r="X87" i="10"/>
  <c r="AA87" i="10"/>
  <c r="D88" i="10"/>
  <c r="K88" i="10"/>
  <c r="L88" i="10" s="1"/>
  <c r="N88" i="10"/>
  <c r="O88" i="10" s="1"/>
  <c r="X88" i="10"/>
  <c r="AA88" i="10"/>
  <c r="D89" i="10"/>
  <c r="K89" i="10"/>
  <c r="L89" i="10" s="1"/>
  <c r="N89" i="10"/>
  <c r="O89" i="10" s="1"/>
  <c r="X89" i="10"/>
  <c r="AA89" i="10"/>
  <c r="D90" i="10"/>
  <c r="K90" i="10"/>
  <c r="L90" i="10" s="1"/>
  <c r="N90" i="10"/>
  <c r="O90" i="10" s="1"/>
  <c r="X90" i="10"/>
  <c r="AA90" i="10"/>
  <c r="D91" i="10"/>
  <c r="K91" i="10"/>
  <c r="L91" i="10" s="1"/>
  <c r="N91" i="10"/>
  <c r="O91" i="10" s="1"/>
  <c r="X91" i="10"/>
  <c r="AA91" i="10"/>
  <c r="D92" i="10"/>
  <c r="K92" i="10"/>
  <c r="L92" i="10" s="1"/>
  <c r="N92" i="10"/>
  <c r="O92" i="10" s="1"/>
  <c r="X92" i="10"/>
  <c r="AA92" i="10"/>
  <c r="D93" i="10"/>
  <c r="K93" i="10"/>
  <c r="L93" i="10" s="1"/>
  <c r="N93" i="10"/>
  <c r="O93" i="10" s="1"/>
  <c r="X93" i="10"/>
  <c r="AA93" i="10"/>
  <c r="D94" i="10"/>
  <c r="K94" i="10"/>
  <c r="L94" i="10" s="1"/>
  <c r="N94" i="10"/>
  <c r="O94" i="10" s="1"/>
  <c r="X94" i="10"/>
  <c r="AA94" i="10"/>
  <c r="D95" i="10"/>
  <c r="K95" i="10"/>
  <c r="L95" i="10" s="1"/>
  <c r="N95" i="10"/>
  <c r="O95" i="10" s="1"/>
  <c r="X95" i="10"/>
  <c r="AA95" i="10"/>
  <c r="D96" i="10"/>
  <c r="K96" i="10"/>
  <c r="L96" i="10" s="1"/>
  <c r="N96" i="10"/>
  <c r="O96" i="10" s="1"/>
  <c r="X96" i="10"/>
  <c r="AA96" i="10"/>
  <c r="D97" i="10"/>
  <c r="K97" i="10"/>
  <c r="L97" i="10" s="1"/>
  <c r="N97" i="10"/>
  <c r="O97" i="10" s="1"/>
  <c r="X97" i="10"/>
  <c r="AA97" i="10"/>
  <c r="D98" i="10"/>
  <c r="K98" i="10"/>
  <c r="L98" i="10" s="1"/>
  <c r="N98" i="10"/>
  <c r="O98" i="10" s="1"/>
  <c r="X98" i="10"/>
  <c r="AA98" i="10"/>
  <c r="D99" i="10"/>
  <c r="K99" i="10"/>
  <c r="L99" i="10" s="1"/>
  <c r="N99" i="10"/>
  <c r="O99" i="10" s="1"/>
  <c r="X99" i="10"/>
  <c r="AA99" i="10"/>
  <c r="D100" i="10"/>
  <c r="K100" i="10"/>
  <c r="L100" i="10" s="1"/>
  <c r="N100" i="10"/>
  <c r="O100" i="10" s="1"/>
  <c r="X100" i="10"/>
  <c r="AA100" i="10"/>
  <c r="D78" i="10"/>
  <c r="K78" i="10"/>
  <c r="L78" i="10" s="1"/>
  <c r="N78" i="10"/>
  <c r="O78" i="10" s="1"/>
  <c r="X78" i="10"/>
  <c r="AA78" i="10"/>
  <c r="N29" i="15" l="1"/>
  <c r="C12" i="18" s="1"/>
  <c r="N32" i="15"/>
  <c r="N31" i="15"/>
  <c r="N30" i="15"/>
  <c r="C8" i="18" s="1"/>
  <c r="N28" i="15"/>
  <c r="C11" i="18" s="1"/>
  <c r="F32" i="15"/>
  <c r="F33" i="15"/>
  <c r="F28" i="15"/>
  <c r="F31" i="15"/>
  <c r="F30" i="15"/>
  <c r="F29" i="15"/>
  <c r="C14" i="18" l="1"/>
  <c r="C8" i="17"/>
  <c r="D8" i="17"/>
  <c r="E8" i="17"/>
  <c r="F8" i="17"/>
  <c r="I3" i="12"/>
  <c r="I4" i="12"/>
  <c r="I5" i="12"/>
  <c r="I6" i="12"/>
  <c r="I2" i="12" l="1"/>
  <c r="Q12" i="18" l="1"/>
  <c r="R12" i="18"/>
  <c r="Q13" i="18"/>
  <c r="R13" i="18"/>
  <c r="Q14" i="18"/>
  <c r="R14" i="18"/>
  <c r="Q15" i="18"/>
  <c r="R15" i="18"/>
  <c r="Q16" i="18"/>
  <c r="R16" i="18"/>
  <c r="R9" i="18"/>
  <c r="R11" i="18"/>
  <c r="R4" i="18"/>
  <c r="R8" i="18"/>
  <c r="R7" i="18"/>
  <c r="Q5" i="18"/>
  <c r="Q6" i="18"/>
  <c r="Q7" i="18"/>
  <c r="Q8" i="18"/>
  <c r="Q9" i="18"/>
  <c r="Q10" i="18"/>
  <c r="Q11" i="18"/>
  <c r="Q4" i="18"/>
  <c r="R5" i="18"/>
  <c r="R6" i="18"/>
  <c r="K8" i="14" l="1"/>
  <c r="G8" i="14"/>
  <c r="G9" i="14"/>
  <c r="N8" i="14"/>
  <c r="E13" i="17" l="1"/>
  <c r="E14" i="17"/>
  <c r="E12" i="17"/>
  <c r="E4" i="17"/>
  <c r="E5" i="17"/>
  <c r="E6" i="17"/>
  <c r="E7" i="17"/>
  <c r="E3" i="17"/>
  <c r="D63" i="10"/>
  <c r="D64" i="10"/>
  <c r="D65" i="10"/>
  <c r="D66" i="10"/>
  <c r="D68" i="10"/>
  <c r="D69" i="10"/>
  <c r="D70" i="10"/>
  <c r="D71" i="10"/>
  <c r="D72" i="10"/>
  <c r="D73" i="10"/>
  <c r="D74" i="10"/>
  <c r="D75" i="10"/>
  <c r="D76" i="10"/>
  <c r="D77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10" i="12" s="1"/>
  <c r="D40" i="10"/>
  <c r="D41" i="10"/>
  <c r="D42" i="10"/>
  <c r="D43" i="10"/>
  <c r="D44" i="10"/>
  <c r="D45" i="10"/>
  <c r="D46" i="10"/>
  <c r="D47" i="10"/>
  <c r="D9" i="12" s="1"/>
  <c r="D48" i="10"/>
  <c r="D49" i="10"/>
  <c r="D50" i="10"/>
  <c r="D7" i="12" s="1"/>
  <c r="D51" i="10"/>
  <c r="D8" i="12" s="1"/>
  <c r="D52" i="10"/>
  <c r="D53" i="10"/>
  <c r="D54" i="10"/>
  <c r="D55" i="10"/>
  <c r="D56" i="10"/>
  <c r="D57" i="10"/>
  <c r="D58" i="10"/>
  <c r="D59" i="10"/>
  <c r="D60" i="10"/>
  <c r="D61" i="10"/>
  <c r="D62" i="10"/>
  <c r="D2" i="10"/>
  <c r="F12" i="15"/>
  <c r="E9" i="17" l="1"/>
  <c r="E15" i="17"/>
  <c r="K6" i="14"/>
  <c r="G6" i="14"/>
  <c r="G7" i="14"/>
  <c r="N6" i="14"/>
  <c r="AB17" i="17" l="1"/>
  <c r="D15" i="18" l="1"/>
  <c r="B7" i="18"/>
  <c r="B6" i="18"/>
  <c r="F4" i="18"/>
  <c r="F3" i="18"/>
  <c r="E17" i="18" l="1"/>
  <c r="E15" i="18"/>
  <c r="X101" i="10"/>
  <c r="X102" i="10"/>
  <c r="X103" i="10"/>
  <c r="X104" i="10"/>
  <c r="X105" i="10"/>
  <c r="X106" i="10"/>
  <c r="X107" i="10"/>
  <c r="X108" i="10"/>
  <c r="X109" i="10"/>
  <c r="X110" i="10"/>
  <c r="X111" i="10"/>
  <c r="X112" i="10"/>
  <c r="X113" i="10"/>
  <c r="X114" i="10"/>
  <c r="X115" i="10"/>
  <c r="X116" i="10"/>
  <c r="X117" i="10"/>
  <c r="X118" i="10"/>
  <c r="X119" i="10"/>
  <c r="X120" i="10"/>
  <c r="X121" i="10"/>
  <c r="X122" i="10"/>
  <c r="X123" i="10"/>
  <c r="X124" i="10"/>
  <c r="X125" i="10"/>
  <c r="X126" i="10"/>
  <c r="X127" i="10"/>
  <c r="X128" i="10"/>
  <c r="X129" i="10"/>
  <c r="X130" i="10"/>
  <c r="X131" i="10"/>
  <c r="X132" i="10"/>
  <c r="X133" i="10"/>
  <c r="X134" i="10"/>
  <c r="X135" i="10"/>
  <c r="X136" i="10"/>
  <c r="X137" i="10"/>
  <c r="X138" i="10"/>
  <c r="X139" i="10"/>
  <c r="X140" i="10"/>
  <c r="X141" i="10"/>
  <c r="X142" i="10"/>
  <c r="X143" i="10"/>
  <c r="X144" i="10"/>
  <c r="X145" i="10"/>
  <c r="X146" i="10"/>
  <c r="X147" i="10"/>
  <c r="X148" i="10"/>
  <c r="X149" i="10"/>
  <c r="X150" i="10"/>
  <c r="X151" i="10"/>
  <c r="X152" i="10"/>
  <c r="X153" i="10"/>
  <c r="X154" i="10"/>
  <c r="X155" i="10"/>
  <c r="X156" i="10"/>
  <c r="X157" i="10"/>
  <c r="X158" i="10"/>
  <c r="X159" i="10"/>
  <c r="X160" i="10"/>
  <c r="X161" i="10"/>
  <c r="X162" i="10"/>
  <c r="X163" i="10"/>
  <c r="X164" i="10"/>
  <c r="X165" i="10"/>
  <c r="X166" i="10"/>
  <c r="X167" i="10"/>
  <c r="X168" i="10"/>
  <c r="X169" i="10"/>
  <c r="X170" i="10"/>
  <c r="X171" i="10"/>
  <c r="X172" i="10"/>
  <c r="X173" i="10"/>
  <c r="X174" i="10"/>
  <c r="X175" i="10"/>
  <c r="X176" i="10"/>
  <c r="X177" i="10"/>
  <c r="X178" i="10"/>
  <c r="X179" i="10"/>
  <c r="X180" i="10"/>
  <c r="X181" i="10"/>
  <c r="X182" i="10"/>
  <c r="X183" i="10"/>
  <c r="X184" i="10"/>
  <c r="X185" i="10"/>
  <c r="X186" i="10"/>
  <c r="X187" i="10"/>
  <c r="X188" i="10"/>
  <c r="X189" i="10"/>
  <c r="X190" i="10"/>
  <c r="X191" i="10"/>
  <c r="X192" i="10"/>
  <c r="X193" i="10"/>
  <c r="X194" i="10"/>
  <c r="X195" i="10"/>
  <c r="X196" i="10"/>
  <c r="X197" i="10"/>
  <c r="X198" i="10"/>
  <c r="X199" i="10"/>
  <c r="X200" i="10"/>
  <c r="X201" i="10"/>
  <c r="X202" i="10"/>
  <c r="X203" i="10"/>
  <c r="X204" i="10"/>
  <c r="X205" i="10"/>
  <c r="X206" i="10"/>
  <c r="X207" i="10"/>
  <c r="X208" i="10"/>
  <c r="X209" i="10"/>
  <c r="X210" i="10"/>
  <c r="X211" i="10"/>
  <c r="X212" i="10"/>
  <c r="X213" i="10"/>
  <c r="X214" i="10"/>
  <c r="X215" i="10"/>
  <c r="X216" i="10"/>
  <c r="X217" i="10"/>
  <c r="X218" i="10"/>
  <c r="X219" i="10"/>
  <c r="X220" i="10"/>
  <c r="X221" i="10"/>
  <c r="X222" i="10"/>
  <c r="X223" i="10"/>
  <c r="X224" i="10"/>
  <c r="X225" i="10"/>
  <c r="X226" i="10"/>
  <c r="X227" i="10"/>
  <c r="X228" i="10"/>
  <c r="X229" i="10"/>
  <c r="X230" i="10"/>
  <c r="X231" i="10"/>
  <c r="X232" i="10"/>
  <c r="X233" i="10"/>
  <c r="X234" i="10"/>
  <c r="X235" i="10"/>
  <c r="X236" i="10"/>
  <c r="X237" i="10"/>
  <c r="X238" i="10"/>
  <c r="X239" i="10"/>
  <c r="X240" i="10"/>
  <c r="X241" i="10"/>
  <c r="X242" i="10"/>
  <c r="X243" i="10"/>
  <c r="X244" i="10"/>
  <c r="X245" i="10"/>
  <c r="X246" i="10"/>
  <c r="X247" i="10"/>
  <c r="X248" i="10"/>
  <c r="X249" i="10"/>
  <c r="X250" i="10"/>
  <c r="X251" i="10"/>
  <c r="X252" i="10"/>
  <c r="X253" i="10"/>
  <c r="X254" i="10"/>
  <c r="X255" i="10"/>
  <c r="X256" i="10"/>
  <c r="X257" i="10"/>
  <c r="X258" i="10"/>
  <c r="X259" i="10"/>
  <c r="X260" i="10"/>
  <c r="X261" i="10"/>
  <c r="X262" i="10"/>
  <c r="X263" i="10"/>
  <c r="X264" i="10"/>
  <c r="X265" i="10"/>
  <c r="X266" i="10"/>
  <c r="X267" i="10"/>
  <c r="X268" i="10"/>
  <c r="X269" i="10"/>
  <c r="X270" i="10"/>
  <c r="X271" i="10"/>
  <c r="X272" i="10"/>
  <c r="X273" i="10"/>
  <c r="X274" i="10"/>
  <c r="X275" i="10"/>
  <c r="X276" i="10"/>
  <c r="X277" i="10"/>
  <c r="X278" i="10"/>
  <c r="X279" i="10"/>
  <c r="X280" i="10"/>
  <c r="X281" i="10"/>
  <c r="X282" i="10"/>
  <c r="X283" i="10"/>
  <c r="X284" i="10"/>
  <c r="X285" i="10"/>
  <c r="X286" i="10"/>
  <c r="X287" i="10"/>
  <c r="X288" i="10"/>
  <c r="X289" i="10"/>
  <c r="X290" i="10"/>
  <c r="X291" i="10"/>
  <c r="X292" i="10"/>
  <c r="X293" i="10"/>
  <c r="X294" i="10"/>
  <c r="X295" i="10"/>
  <c r="X296" i="10"/>
  <c r="X297" i="10"/>
  <c r="X298" i="10"/>
  <c r="X299" i="10"/>
  <c r="X300" i="10"/>
  <c r="X301" i="10"/>
  <c r="X302" i="10"/>
  <c r="X303" i="10"/>
  <c r="X304" i="10"/>
  <c r="X305" i="10"/>
  <c r="X306" i="10"/>
  <c r="X307" i="10"/>
  <c r="X308" i="10"/>
  <c r="X309" i="10"/>
  <c r="X310" i="10"/>
  <c r="X311" i="10"/>
  <c r="X312" i="10"/>
  <c r="X313" i="10"/>
  <c r="X314" i="10"/>
  <c r="X315" i="10"/>
  <c r="X316" i="10"/>
  <c r="X317" i="10"/>
  <c r="X318" i="10"/>
  <c r="X319" i="10"/>
  <c r="X320" i="10"/>
  <c r="X321" i="10"/>
  <c r="X322" i="10"/>
  <c r="X323" i="10"/>
  <c r="X324" i="10"/>
  <c r="X325" i="10"/>
  <c r="X326" i="10"/>
  <c r="X327" i="10"/>
  <c r="X328" i="10"/>
  <c r="X329" i="10"/>
  <c r="X330" i="10"/>
  <c r="X331" i="10"/>
  <c r="X332" i="10"/>
  <c r="X333" i="10"/>
  <c r="X334" i="10"/>
  <c r="X335" i="10"/>
  <c r="X336" i="10"/>
  <c r="X337" i="10"/>
  <c r="X338" i="10"/>
  <c r="X339" i="10"/>
  <c r="X340" i="10"/>
  <c r="X341" i="10"/>
  <c r="X342" i="10"/>
  <c r="X343" i="10"/>
  <c r="X344" i="10"/>
  <c r="X345" i="10"/>
  <c r="X346" i="10"/>
  <c r="X347" i="10"/>
  <c r="X348" i="10"/>
  <c r="X349" i="10"/>
  <c r="X350" i="10"/>
  <c r="X351" i="10"/>
  <c r="X352" i="10"/>
  <c r="X353" i="10"/>
  <c r="X354" i="10"/>
  <c r="X355" i="10"/>
  <c r="X356" i="10"/>
  <c r="X357" i="10"/>
  <c r="X358" i="10"/>
  <c r="X359" i="10"/>
  <c r="X360" i="10"/>
  <c r="X361" i="10"/>
  <c r="X362" i="10"/>
  <c r="X363" i="10"/>
  <c r="X364" i="10"/>
  <c r="X365" i="10"/>
  <c r="X366" i="10"/>
  <c r="X367" i="10"/>
  <c r="X368" i="10"/>
  <c r="X369" i="10"/>
  <c r="X370" i="10"/>
  <c r="X371" i="10"/>
  <c r="X372" i="10"/>
  <c r="X373" i="10"/>
  <c r="X374" i="10"/>
  <c r="X375" i="10"/>
  <c r="X376" i="10"/>
  <c r="X377" i="10"/>
  <c r="X378" i="10"/>
  <c r="X379" i="10"/>
  <c r="X380" i="10"/>
  <c r="X381" i="10"/>
  <c r="X382" i="10"/>
  <c r="X383" i="10"/>
  <c r="X384" i="10"/>
  <c r="X385" i="10"/>
  <c r="X386" i="10"/>
  <c r="X387" i="10"/>
  <c r="X388" i="10"/>
  <c r="X389" i="10"/>
  <c r="X390" i="10"/>
  <c r="X391" i="10"/>
  <c r="X392" i="10"/>
  <c r="X393" i="10"/>
  <c r="X394" i="10"/>
  <c r="X395" i="10"/>
  <c r="X396" i="10"/>
  <c r="X397" i="10"/>
  <c r="X398" i="10"/>
  <c r="X399" i="10"/>
  <c r="X400" i="10"/>
  <c r="X401" i="10"/>
  <c r="X402" i="10"/>
  <c r="X403" i="10"/>
  <c r="X404" i="10"/>
  <c r="X405" i="10"/>
  <c r="X406" i="10"/>
  <c r="X407" i="10"/>
  <c r="X408" i="10"/>
  <c r="X409" i="10"/>
  <c r="X410" i="10"/>
  <c r="X411" i="10"/>
  <c r="X412" i="10"/>
  <c r="X413" i="10"/>
  <c r="X414" i="10"/>
  <c r="X415" i="10"/>
  <c r="X416" i="10"/>
  <c r="X417" i="10"/>
  <c r="X418" i="10"/>
  <c r="X419" i="10"/>
  <c r="X420" i="10"/>
  <c r="X421" i="10"/>
  <c r="X422" i="10"/>
  <c r="X423" i="10"/>
  <c r="X424" i="10"/>
  <c r="X425" i="10"/>
  <c r="X426" i="10"/>
  <c r="X427" i="10"/>
  <c r="X428" i="10"/>
  <c r="X429" i="10"/>
  <c r="X430" i="10"/>
  <c r="X431" i="10"/>
  <c r="X432" i="10"/>
  <c r="X433" i="10"/>
  <c r="X434" i="10"/>
  <c r="X435" i="10"/>
  <c r="X436" i="10"/>
  <c r="X437" i="10"/>
  <c r="X438" i="10"/>
  <c r="X439" i="10"/>
  <c r="X440" i="10"/>
  <c r="X441" i="10"/>
  <c r="X442" i="10"/>
  <c r="X443" i="10"/>
  <c r="X444" i="10"/>
  <c r="X445" i="10"/>
  <c r="X446" i="10"/>
  <c r="X447" i="10"/>
  <c r="X448" i="10"/>
  <c r="X449" i="10"/>
  <c r="X450" i="10"/>
  <c r="X451" i="10"/>
  <c r="X452" i="10"/>
  <c r="X453" i="10"/>
  <c r="X454" i="10"/>
  <c r="X455" i="10"/>
  <c r="X456" i="10"/>
  <c r="X457" i="10"/>
  <c r="X458" i="10"/>
  <c r="X459" i="10"/>
  <c r="X460" i="10"/>
  <c r="X461" i="10"/>
  <c r="X462" i="10"/>
  <c r="X463" i="10"/>
  <c r="X464" i="10"/>
  <c r="X465" i="10"/>
  <c r="X466" i="10"/>
  <c r="X467" i="10"/>
  <c r="X468" i="10"/>
  <c r="X469" i="10"/>
  <c r="X470" i="10"/>
  <c r="X471" i="10"/>
  <c r="X472" i="10"/>
  <c r="X473" i="10"/>
  <c r="X474" i="10"/>
  <c r="X475" i="10"/>
  <c r="X476" i="10"/>
  <c r="X477" i="10"/>
  <c r="X478" i="10"/>
  <c r="X479" i="10"/>
  <c r="X480" i="10"/>
  <c r="X481" i="10"/>
  <c r="X482" i="10"/>
  <c r="X483" i="10"/>
  <c r="X484" i="10"/>
  <c r="X485" i="10"/>
  <c r="X486" i="10"/>
  <c r="X487" i="10"/>
  <c r="X488" i="10"/>
  <c r="X489" i="10"/>
  <c r="X490" i="10"/>
  <c r="X491" i="10"/>
  <c r="X492" i="10"/>
  <c r="X493" i="10"/>
  <c r="X494" i="10"/>
  <c r="X495" i="10"/>
  <c r="X496" i="10"/>
  <c r="X497" i="10"/>
  <c r="X498" i="10"/>
  <c r="X499" i="10"/>
  <c r="K4" i="14"/>
  <c r="K2" i="14"/>
  <c r="G4" i="14"/>
  <c r="G5" i="14"/>
  <c r="G3" i="14"/>
  <c r="G2" i="14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3" i="10"/>
  <c r="X4" i="10"/>
  <c r="X5" i="10"/>
  <c r="X6" i="10"/>
  <c r="X7" i="10"/>
  <c r="X9" i="10"/>
  <c r="X10" i="10"/>
  <c r="X11" i="10"/>
  <c r="X12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2" i="10"/>
  <c r="N2" i="14"/>
  <c r="F22" i="15"/>
  <c r="N4" i="14"/>
  <c r="H23" i="13" l="1"/>
  <c r="H27" i="13"/>
  <c r="H24" i="13"/>
  <c r="H2" i="13"/>
  <c r="H25" i="13"/>
  <c r="H22" i="13"/>
  <c r="H26" i="13"/>
  <c r="H6" i="13"/>
  <c r="H3" i="13"/>
  <c r="I5" i="13"/>
  <c r="H5" i="13"/>
  <c r="H4" i="13"/>
  <c r="I4" i="13"/>
  <c r="H7" i="13"/>
  <c r="I7" i="13"/>
  <c r="H8" i="13"/>
  <c r="I8" i="13"/>
  <c r="H9" i="13"/>
  <c r="I9" i="13"/>
  <c r="H10" i="13"/>
  <c r="I10" i="13"/>
  <c r="H11" i="13"/>
  <c r="I11" i="13"/>
  <c r="H12" i="13"/>
  <c r="I12" i="13"/>
  <c r="H13" i="13"/>
  <c r="I13" i="13"/>
  <c r="H14" i="13"/>
  <c r="I14" i="13"/>
  <c r="H15" i="13"/>
  <c r="I15" i="13"/>
  <c r="H16" i="13"/>
  <c r="I16" i="13"/>
  <c r="H17" i="13"/>
  <c r="I17" i="13"/>
  <c r="I19" i="13"/>
  <c r="H18" i="13"/>
  <c r="I18" i="13"/>
  <c r="H19" i="13"/>
  <c r="I20" i="13"/>
  <c r="H20" i="13"/>
  <c r="I21" i="13"/>
  <c r="H21" i="13"/>
  <c r="I22" i="13"/>
  <c r="I23" i="13"/>
  <c r="I24" i="13"/>
  <c r="I26" i="13"/>
  <c r="I25" i="13"/>
  <c r="I27" i="13"/>
  <c r="E8" i="14"/>
  <c r="D9" i="14"/>
  <c r="F8" i="14"/>
  <c r="E9" i="14"/>
  <c r="C8" i="14"/>
  <c r="F9" i="14"/>
  <c r="D8" i="14"/>
  <c r="C9" i="14"/>
  <c r="F6" i="14"/>
  <c r="E7" i="14"/>
  <c r="C6" i="14"/>
  <c r="F7" i="14"/>
  <c r="D6" i="14"/>
  <c r="C7" i="14"/>
  <c r="E6" i="14"/>
  <c r="D7" i="14"/>
  <c r="C4" i="14"/>
  <c r="C5" i="14"/>
  <c r="D4" i="14"/>
  <c r="D2" i="14"/>
  <c r="D3" i="14"/>
  <c r="F5" i="14"/>
  <c r="F4" i="14"/>
  <c r="F2" i="14"/>
  <c r="E2" i="14"/>
  <c r="C2" i="14"/>
  <c r="E5" i="14"/>
  <c r="E4" i="14"/>
  <c r="F3" i="14"/>
  <c r="E3" i="14"/>
  <c r="C3" i="14"/>
  <c r="D5" i="14"/>
  <c r="AC18" i="17"/>
  <c r="AD18" i="17"/>
  <c r="AB18" i="17"/>
  <c r="AD17" i="17"/>
  <c r="AC17" i="17"/>
  <c r="C12" i="17"/>
  <c r="F12" i="17"/>
  <c r="C13" i="17"/>
  <c r="F13" i="17"/>
  <c r="C14" i="17"/>
  <c r="F14" i="17"/>
  <c r="D13" i="17"/>
  <c r="D14" i="17"/>
  <c r="D12" i="17"/>
  <c r="A4" i="14"/>
  <c r="B2" i="14"/>
  <c r="A5" i="14"/>
  <c r="A3" i="14"/>
  <c r="C16" i="13" l="1"/>
  <c r="D16" i="13"/>
  <c r="A16" i="13"/>
  <c r="B16" i="13"/>
  <c r="K16" i="13"/>
  <c r="M16" i="13"/>
  <c r="L16" i="13"/>
  <c r="E16" i="13"/>
  <c r="B14" i="13"/>
  <c r="D14" i="13"/>
  <c r="A14" i="13"/>
  <c r="E14" i="13"/>
  <c r="C14" i="13"/>
  <c r="M14" i="13"/>
  <c r="L14" i="13"/>
  <c r="K14" i="13"/>
  <c r="B12" i="13"/>
  <c r="D12" i="13"/>
  <c r="A12" i="13"/>
  <c r="C12" i="13"/>
  <c r="L12" i="13"/>
  <c r="M12" i="13"/>
  <c r="E12" i="13"/>
  <c r="K12" i="13"/>
  <c r="M10" i="13"/>
  <c r="D10" i="13"/>
  <c r="A10" i="13"/>
  <c r="C10" i="13"/>
  <c r="L10" i="13"/>
  <c r="B10" i="13"/>
  <c r="E10" i="13"/>
  <c r="K10" i="13"/>
  <c r="M8" i="13"/>
  <c r="D8" i="13"/>
  <c r="A8" i="13"/>
  <c r="C8" i="13"/>
  <c r="L8" i="13"/>
  <c r="B8" i="13"/>
  <c r="E8" i="13"/>
  <c r="K8" i="13"/>
  <c r="B4" i="13"/>
  <c r="D4" i="13"/>
  <c r="K4" i="13"/>
  <c r="M4" i="13"/>
  <c r="C4" i="13"/>
  <c r="L4" i="13"/>
  <c r="E4" i="13"/>
  <c r="B6" i="13"/>
  <c r="D6" i="13"/>
  <c r="E6" i="13"/>
  <c r="C6" i="13"/>
  <c r="L6" i="13"/>
  <c r="K6" i="13"/>
  <c r="C2" i="13"/>
  <c r="D2" i="13"/>
  <c r="L2" i="13"/>
  <c r="E2" i="13"/>
  <c r="K2" i="13"/>
  <c r="B2" i="13"/>
  <c r="M21" i="13"/>
  <c r="D21" i="13"/>
  <c r="A21" i="13"/>
  <c r="L21" i="13"/>
  <c r="B21" i="13"/>
  <c r="E21" i="13"/>
  <c r="K21" i="13"/>
  <c r="C21" i="13"/>
  <c r="A19" i="13"/>
  <c r="D19" i="13"/>
  <c r="E19" i="13"/>
  <c r="K19" i="13"/>
  <c r="M19" i="13"/>
  <c r="C19" i="13"/>
  <c r="L19" i="13"/>
  <c r="B19" i="13"/>
  <c r="B5" i="13"/>
  <c r="D5" i="13"/>
  <c r="K5" i="13"/>
  <c r="L5" i="13"/>
  <c r="C5" i="13"/>
  <c r="E5" i="13"/>
  <c r="M5" i="13"/>
  <c r="D26" i="13"/>
  <c r="B26" i="13"/>
  <c r="K26" i="13"/>
  <c r="C26" i="13"/>
  <c r="L26" i="13"/>
  <c r="E26" i="13"/>
  <c r="M26" i="13"/>
  <c r="A26" i="13"/>
  <c r="D24" i="13"/>
  <c r="A24" i="13"/>
  <c r="B24" i="13"/>
  <c r="K24" i="13"/>
  <c r="C24" i="13"/>
  <c r="L24" i="13"/>
  <c r="E24" i="13"/>
  <c r="M24" i="13"/>
  <c r="B17" i="13"/>
  <c r="D17" i="13"/>
  <c r="A17" i="13"/>
  <c r="L17" i="13"/>
  <c r="C17" i="13"/>
  <c r="E17" i="13"/>
  <c r="M17" i="13"/>
  <c r="K17" i="13"/>
  <c r="E15" i="13"/>
  <c r="D15" i="13"/>
  <c r="A15" i="13"/>
  <c r="B15" i="13"/>
  <c r="C15" i="13"/>
  <c r="M15" i="13"/>
  <c r="L15" i="13"/>
  <c r="K15" i="13"/>
  <c r="M13" i="13"/>
  <c r="D13" i="13"/>
  <c r="A13" i="13"/>
  <c r="E13" i="13"/>
  <c r="K13" i="13"/>
  <c r="C13" i="13"/>
  <c r="L13" i="13"/>
  <c r="B13" i="13"/>
  <c r="M11" i="13"/>
  <c r="D11" i="13"/>
  <c r="A11" i="13"/>
  <c r="K11" i="13"/>
  <c r="B11" i="13"/>
  <c r="C11" i="13"/>
  <c r="L11" i="13"/>
  <c r="E11" i="13"/>
  <c r="C9" i="13"/>
  <c r="D9" i="13"/>
  <c r="A9" i="13"/>
  <c r="M9" i="13"/>
  <c r="L9" i="13"/>
  <c r="K9" i="13"/>
  <c r="E9" i="13"/>
  <c r="B9" i="13"/>
  <c r="M7" i="13"/>
  <c r="D7" i="13"/>
  <c r="A7" i="13"/>
  <c r="C7" i="13"/>
  <c r="L7" i="13"/>
  <c r="B7" i="13"/>
  <c r="E7" i="13"/>
  <c r="K7" i="13"/>
  <c r="D22" i="13"/>
  <c r="A22" i="13"/>
  <c r="B22" i="13"/>
  <c r="K22" i="13"/>
  <c r="C22" i="13"/>
  <c r="L22" i="13"/>
  <c r="E22" i="13"/>
  <c r="M22" i="13"/>
  <c r="D27" i="13"/>
  <c r="A27" i="13"/>
  <c r="B27" i="13"/>
  <c r="K27" i="13"/>
  <c r="C27" i="13"/>
  <c r="L27" i="13"/>
  <c r="E27" i="13"/>
  <c r="M27" i="13"/>
  <c r="M20" i="13"/>
  <c r="D20" i="13"/>
  <c r="A20" i="13"/>
  <c r="B20" i="13"/>
  <c r="C20" i="13"/>
  <c r="L20" i="13"/>
  <c r="E20" i="13"/>
  <c r="K20" i="13"/>
  <c r="B18" i="13"/>
  <c r="D18" i="13"/>
  <c r="A18" i="13"/>
  <c r="M18" i="13"/>
  <c r="K18" i="13"/>
  <c r="E18" i="13"/>
  <c r="C18" i="13"/>
  <c r="L18" i="13"/>
  <c r="B3" i="13"/>
  <c r="D3" i="13"/>
  <c r="C3" i="13"/>
  <c r="E3" i="13"/>
  <c r="K3" i="13"/>
  <c r="L3" i="13"/>
  <c r="D25" i="13"/>
  <c r="B25" i="13"/>
  <c r="K25" i="13"/>
  <c r="A25" i="13"/>
  <c r="C25" i="13"/>
  <c r="L25" i="13"/>
  <c r="E25" i="13"/>
  <c r="M25" i="13"/>
  <c r="D23" i="13"/>
  <c r="A23" i="13"/>
  <c r="B23" i="13"/>
  <c r="K23" i="13"/>
  <c r="C23" i="13"/>
  <c r="L23" i="13"/>
  <c r="E23" i="13"/>
  <c r="M23" i="13"/>
  <c r="B8" i="14"/>
  <c r="B9" i="14"/>
  <c r="D15" i="17"/>
  <c r="AD19" i="17"/>
  <c r="E19" i="17" s="1"/>
  <c r="AB19" i="17"/>
  <c r="C19" i="17" s="1"/>
  <c r="AC19" i="17"/>
  <c r="D19" i="17" s="1"/>
  <c r="F15" i="17"/>
  <c r="C15" i="17"/>
  <c r="D7" i="17"/>
  <c r="C7" i="17"/>
  <c r="F7" i="17"/>
  <c r="C3" i="17"/>
  <c r="AA48" i="10"/>
  <c r="N48" i="10"/>
  <c r="O48" i="10" s="1"/>
  <c r="K48" i="10"/>
  <c r="L48" i="10" s="1"/>
  <c r="F3" i="17"/>
  <c r="C4" i="17"/>
  <c r="F4" i="17"/>
  <c r="C5" i="17"/>
  <c r="F5" i="17"/>
  <c r="C6" i="17"/>
  <c r="F6" i="17"/>
  <c r="D6" i="17"/>
  <c r="D4" i="17"/>
  <c r="D5" i="17"/>
  <c r="D3" i="17"/>
  <c r="A5" i="13"/>
  <c r="A2" i="13"/>
  <c r="A6" i="13"/>
  <c r="B7" i="14"/>
  <c r="A6" i="14"/>
  <c r="A2" i="14"/>
  <c r="B4" i="14"/>
  <c r="B6" i="14"/>
  <c r="A3" i="13"/>
  <c r="A4" i="13"/>
  <c r="B3" i="14"/>
  <c r="A9" i="14"/>
  <c r="A7" i="14"/>
  <c r="B5" i="14"/>
  <c r="A8" i="14"/>
  <c r="D9" i="17" l="1"/>
  <c r="F9" i="17"/>
  <c r="C9" i="17"/>
  <c r="N35" i="10"/>
  <c r="K35" i="10" s="1"/>
  <c r="L35" i="10" s="1"/>
  <c r="N36" i="10"/>
  <c r="K36" i="10" s="1"/>
  <c r="L36" i="10" s="1"/>
  <c r="O36" i="10" l="1"/>
  <c r="O35" i="10"/>
  <c r="AA45" i="10"/>
  <c r="N45" i="10"/>
  <c r="O45" i="10" s="1"/>
  <c r="K45" i="10"/>
  <c r="L45" i="10" s="1"/>
  <c r="AA43" i="10" l="1"/>
  <c r="N43" i="10"/>
  <c r="O43" i="10" s="1"/>
  <c r="E5" i="12" s="1"/>
  <c r="K43" i="10"/>
  <c r="L43" i="10" s="1"/>
  <c r="H3" i="12" l="1"/>
  <c r="H4" i="12"/>
  <c r="H5" i="12"/>
  <c r="H6" i="12"/>
  <c r="H2" i="12"/>
  <c r="G3" i="12"/>
  <c r="G4" i="12"/>
  <c r="G5" i="12"/>
  <c r="G6" i="12"/>
  <c r="G2" i="12"/>
  <c r="K49" i="10" l="1"/>
  <c r="L49" i="10" s="1"/>
  <c r="N49" i="10"/>
  <c r="O49" i="10" s="1"/>
  <c r="AA49" i="10"/>
  <c r="K6" i="12" l="1"/>
  <c r="K5" i="12"/>
  <c r="K4" i="12"/>
  <c r="K3" i="12"/>
  <c r="K2" i="12"/>
  <c r="L6" i="12"/>
  <c r="L5" i="12"/>
  <c r="L4" i="12"/>
  <c r="L3" i="12"/>
  <c r="L2" i="12"/>
  <c r="J6" i="12"/>
  <c r="J5" i="12"/>
  <c r="J4" i="12"/>
  <c r="J3" i="12"/>
  <c r="J2" i="12"/>
  <c r="D6" i="12"/>
  <c r="D5" i="12"/>
  <c r="D4" i="12"/>
  <c r="D3" i="12"/>
  <c r="D2" i="12"/>
  <c r="C6" i="12"/>
  <c r="C5" i="12"/>
  <c r="C4" i="12"/>
  <c r="C3" i="12"/>
  <c r="B6" i="12"/>
  <c r="B5" i="12"/>
  <c r="B4" i="12"/>
  <c r="B3" i="12"/>
  <c r="B2" i="12"/>
  <c r="AA40" i="10" l="1"/>
  <c r="N40" i="10"/>
  <c r="O40" i="10" s="1"/>
  <c r="K40" i="10"/>
  <c r="L40" i="10" s="1"/>
  <c r="N26" i="15" l="1"/>
  <c r="C9" i="18" s="1"/>
  <c r="N27" i="15"/>
  <c r="N22" i="15"/>
  <c r="N21" i="15"/>
  <c r="N17" i="15"/>
  <c r="N19" i="15"/>
  <c r="N18" i="15"/>
  <c r="AA54" i="10"/>
  <c r="N54" i="10"/>
  <c r="O54" i="10" s="1"/>
  <c r="K54" i="10"/>
  <c r="L54" i="10" s="1"/>
  <c r="N29" i="10"/>
  <c r="N30" i="10"/>
  <c r="N31" i="10"/>
  <c r="N32" i="10"/>
  <c r="N33" i="10"/>
  <c r="N34" i="10"/>
  <c r="N37" i="10"/>
  <c r="N38" i="10"/>
  <c r="N39" i="10"/>
  <c r="N41" i="10"/>
  <c r="N42" i="10"/>
  <c r="N44" i="10"/>
  <c r="N46" i="10"/>
  <c r="N47" i="10"/>
  <c r="N50" i="10"/>
  <c r="O50" i="10" s="1"/>
  <c r="E7" i="12" s="1"/>
  <c r="N51" i="10"/>
  <c r="O51" i="10" s="1"/>
  <c r="E8" i="12" s="1"/>
  <c r="N52" i="10"/>
  <c r="O52" i="10" s="1"/>
  <c r="N53" i="10"/>
  <c r="O53" i="10" s="1"/>
  <c r="E6" i="12" s="1"/>
  <c r="N55" i="10"/>
  <c r="O55" i="10" s="1"/>
  <c r="N56" i="10"/>
  <c r="O56" i="10" s="1"/>
  <c r="N57" i="10"/>
  <c r="O57" i="10" s="1"/>
  <c r="N58" i="10"/>
  <c r="O58" i="10" s="1"/>
  <c r="N59" i="10"/>
  <c r="O59" i="10" s="1"/>
  <c r="N60" i="10"/>
  <c r="O60" i="10" s="1"/>
  <c r="N61" i="10"/>
  <c r="O61" i="10" s="1"/>
  <c r="N62" i="10"/>
  <c r="O62" i="10" s="1"/>
  <c r="N63" i="10"/>
  <c r="O63" i="10" s="1"/>
  <c r="N64" i="10"/>
  <c r="O64" i="10" s="1"/>
  <c r="N65" i="10"/>
  <c r="O65" i="10" s="1"/>
  <c r="N66" i="10"/>
  <c r="O66" i="10" s="1"/>
  <c r="N68" i="10"/>
  <c r="O68" i="10" s="1"/>
  <c r="N69" i="10"/>
  <c r="O69" i="10" s="1"/>
  <c r="N70" i="10"/>
  <c r="O70" i="10" s="1"/>
  <c r="N71" i="10"/>
  <c r="O71" i="10" s="1"/>
  <c r="N72" i="10"/>
  <c r="O72" i="10" s="1"/>
  <c r="N73" i="10"/>
  <c r="O73" i="10" s="1"/>
  <c r="N74" i="10"/>
  <c r="O74" i="10" s="1"/>
  <c r="N75" i="10"/>
  <c r="O75" i="10" s="1"/>
  <c r="N76" i="10"/>
  <c r="O76" i="10" s="1"/>
  <c r="N77" i="10"/>
  <c r="O77" i="10" s="1"/>
  <c r="AA9" i="10"/>
  <c r="AA10" i="10"/>
  <c r="AA11" i="10"/>
  <c r="AA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9" i="10"/>
  <c r="AA41" i="10"/>
  <c r="AA42" i="10"/>
  <c r="AA44" i="10"/>
  <c r="AA46" i="10"/>
  <c r="AA47" i="10"/>
  <c r="AA50" i="10"/>
  <c r="AA51" i="10"/>
  <c r="AA52" i="10"/>
  <c r="AA53" i="10"/>
  <c r="AA55" i="10"/>
  <c r="AA56" i="10"/>
  <c r="AA57" i="10"/>
  <c r="AA58" i="10"/>
  <c r="AA59" i="10"/>
  <c r="AA60" i="10"/>
  <c r="AA61" i="10"/>
  <c r="AA62" i="10"/>
  <c r="AA63" i="10"/>
  <c r="AA64" i="10"/>
  <c r="AA65" i="10"/>
  <c r="AA66" i="10"/>
  <c r="AA67" i="10"/>
  <c r="AA68" i="10"/>
  <c r="AA69" i="10"/>
  <c r="AA70" i="10"/>
  <c r="AA71" i="10"/>
  <c r="AA72" i="10"/>
  <c r="AA73" i="10"/>
  <c r="AA74" i="10"/>
  <c r="AA75" i="10"/>
  <c r="AA76" i="10"/>
  <c r="AA77" i="10"/>
  <c r="K59" i="10"/>
  <c r="L59" i="10" s="1"/>
  <c r="K60" i="10"/>
  <c r="L60" i="10" s="1"/>
  <c r="K61" i="10"/>
  <c r="L61" i="10" s="1"/>
  <c r="K62" i="10"/>
  <c r="L62" i="10" s="1"/>
  <c r="K63" i="10"/>
  <c r="L63" i="10" s="1"/>
  <c r="K64" i="10"/>
  <c r="L64" i="10" s="1"/>
  <c r="K65" i="10"/>
  <c r="L65" i="10" s="1"/>
  <c r="K66" i="10"/>
  <c r="L66" i="10" s="1"/>
  <c r="K67" i="10"/>
  <c r="L67" i="10" s="1"/>
  <c r="K68" i="10"/>
  <c r="L68" i="10" s="1"/>
  <c r="K69" i="10"/>
  <c r="L69" i="10" s="1"/>
  <c r="K70" i="10"/>
  <c r="L70" i="10" s="1"/>
  <c r="K71" i="10"/>
  <c r="L71" i="10" s="1"/>
  <c r="K72" i="10"/>
  <c r="L72" i="10" s="1"/>
  <c r="K73" i="10"/>
  <c r="L73" i="10" s="1"/>
  <c r="K74" i="10"/>
  <c r="L74" i="10" s="1"/>
  <c r="K75" i="10"/>
  <c r="L75" i="10" s="1"/>
  <c r="K76" i="10"/>
  <c r="L76" i="10" s="1"/>
  <c r="K77" i="10"/>
  <c r="L77" i="10" s="1"/>
  <c r="K51" i="10"/>
  <c r="L51" i="10" s="1"/>
  <c r="K50" i="10"/>
  <c r="L50" i="10" s="1"/>
  <c r="F27" i="15"/>
  <c r="F18" i="15"/>
  <c r="F21" i="15"/>
  <c r="F19" i="15"/>
  <c r="F17" i="15"/>
  <c r="F26" i="15"/>
  <c r="C4" i="18" l="1"/>
  <c r="E18" i="18" s="1"/>
  <c r="C10" i="18"/>
  <c r="C6" i="18"/>
  <c r="C7" i="18"/>
  <c r="J21" i="12"/>
  <c r="K21" i="12"/>
  <c r="L21" i="12"/>
  <c r="J22" i="12"/>
  <c r="K22" i="12"/>
  <c r="L22" i="12"/>
  <c r="J23" i="12"/>
  <c r="K23" i="12"/>
  <c r="L23" i="12"/>
  <c r="J24" i="12"/>
  <c r="K24" i="12"/>
  <c r="L24" i="12"/>
  <c r="J25" i="12"/>
  <c r="K25" i="12"/>
  <c r="L25" i="12"/>
  <c r="J26" i="12"/>
  <c r="K26" i="12"/>
  <c r="L26" i="12"/>
  <c r="J27" i="12"/>
  <c r="K27" i="12"/>
  <c r="L27" i="12"/>
  <c r="F8" i="15"/>
  <c r="F36" i="15"/>
  <c r="F35" i="15"/>
  <c r="F34" i="15"/>
  <c r="F2" i="15"/>
  <c r="F5" i="15"/>
  <c r="F3" i="15"/>
  <c r="F9" i="15"/>
  <c r="F11" i="15"/>
  <c r="A4" i="12"/>
  <c r="F13" i="15"/>
  <c r="F7" i="15"/>
  <c r="F14" i="15"/>
  <c r="A3" i="12"/>
  <c r="F16" i="15"/>
  <c r="F20" i="15"/>
  <c r="F23" i="15"/>
  <c r="F25" i="15"/>
  <c r="F6" i="15"/>
  <c r="F24" i="15"/>
  <c r="A5" i="12"/>
  <c r="F4" i="15"/>
  <c r="F15" i="15"/>
  <c r="F10" i="15"/>
  <c r="A6" i="12"/>
  <c r="A2" i="12"/>
  <c r="K58" i="10" l="1"/>
  <c r="L58" i="10" s="1"/>
  <c r="K57" i="10"/>
  <c r="L57" i="10" s="1"/>
  <c r="K56" i="10"/>
  <c r="L56" i="10" s="1"/>
  <c r="K55" i="10"/>
  <c r="L55" i="10" s="1"/>
  <c r="K53" i="10"/>
  <c r="L53" i="10" s="1"/>
  <c r="K52" i="10"/>
  <c r="L52" i="10" s="1"/>
  <c r="O47" i="10"/>
  <c r="E9" i="12" s="1"/>
  <c r="K47" i="10"/>
  <c r="L47" i="10" s="1"/>
  <c r="O46" i="10"/>
  <c r="E3" i="12" s="1"/>
  <c r="K46" i="10"/>
  <c r="L46" i="10" s="1"/>
  <c r="O44" i="10"/>
  <c r="E4" i="12" s="1"/>
  <c r="K44" i="10"/>
  <c r="L44" i="10" s="1"/>
  <c r="O42" i="10"/>
  <c r="K42" i="10"/>
  <c r="L42" i="10" s="1"/>
  <c r="O41" i="10"/>
  <c r="K41" i="10"/>
  <c r="L41" i="10" s="1"/>
  <c r="O39" i="10"/>
  <c r="E10" i="12" s="1"/>
  <c r="K39" i="10"/>
  <c r="L39" i="10" s="1"/>
  <c r="O38" i="10"/>
  <c r="K38" i="10"/>
  <c r="L38" i="10" s="1"/>
  <c r="O21" i="10"/>
  <c r="K21" i="10"/>
  <c r="L21" i="10" s="1"/>
  <c r="O24" i="10" l="1"/>
  <c r="K24" i="10"/>
  <c r="L24" i="10" s="1"/>
  <c r="O29" i="10"/>
  <c r="O31" i="10"/>
  <c r="K29" i="10" l="1"/>
  <c r="L29" i="10" s="1"/>
  <c r="K31" i="10"/>
  <c r="L31" i="10" s="1"/>
  <c r="AA3" i="10" l="1"/>
  <c r="AA4" i="10"/>
  <c r="AA5" i="10"/>
  <c r="AA6" i="10"/>
  <c r="AA7" i="10"/>
  <c r="AA8" i="10"/>
  <c r="AA2" i="10"/>
  <c r="K33" i="10"/>
  <c r="L33" i="10" s="1"/>
  <c r="K2" i="10"/>
  <c r="L2" i="10" s="1"/>
  <c r="K3" i="10"/>
  <c r="L3" i="10" s="1"/>
  <c r="K4" i="10"/>
  <c r="L4" i="10" s="1"/>
  <c r="K5" i="10"/>
  <c r="L5" i="10" s="1"/>
  <c r="K6" i="10"/>
  <c r="L6" i="10" s="1"/>
  <c r="K7" i="10"/>
  <c r="L7" i="10" s="1"/>
  <c r="K8" i="10"/>
  <c r="L8" i="10" s="1"/>
  <c r="K9" i="10"/>
  <c r="L9" i="10" s="1"/>
  <c r="K10" i="10"/>
  <c r="L10" i="10" s="1"/>
  <c r="K11" i="10"/>
  <c r="L11" i="10" s="1"/>
  <c r="K12" i="10"/>
  <c r="L12" i="10" s="1"/>
  <c r="K13" i="10"/>
  <c r="L13" i="10" s="1"/>
  <c r="K14" i="10"/>
  <c r="L14" i="10" s="1"/>
  <c r="K15" i="10"/>
  <c r="L15" i="10" s="1"/>
  <c r="K16" i="10"/>
  <c r="L16" i="10" s="1"/>
  <c r="K17" i="10"/>
  <c r="L17" i="10" s="1"/>
  <c r="K18" i="10"/>
  <c r="L18" i="10" s="1"/>
  <c r="K19" i="10"/>
  <c r="L19" i="10" s="1"/>
  <c r="K22" i="10"/>
  <c r="L22" i="10" s="1"/>
  <c r="O34" i="10"/>
  <c r="E2" i="12" s="1"/>
  <c r="O30" i="10"/>
  <c r="O22" i="10"/>
  <c r="N27" i="10"/>
  <c r="O27" i="10" s="1"/>
  <c r="O25" i="10"/>
  <c r="O37" i="10"/>
  <c r="O32" i="10"/>
  <c r="N28" i="10"/>
  <c r="O28" i="10" s="1"/>
  <c r="N23" i="10"/>
  <c r="O23" i="10" s="1"/>
  <c r="N26" i="10"/>
  <c r="O26" i="10" s="1"/>
  <c r="N20" i="10"/>
  <c r="O20" i="10" s="1"/>
  <c r="O19" i="10"/>
  <c r="O17" i="10"/>
  <c r="O18" i="10"/>
  <c r="O16" i="10"/>
  <c r="O15" i="10"/>
  <c r="O14" i="10"/>
  <c r="O13" i="10"/>
  <c r="O12" i="10"/>
  <c r="O11" i="10"/>
  <c r="O10" i="10"/>
  <c r="O7" i="10"/>
  <c r="O33" i="10" l="1"/>
  <c r="K25" i="10"/>
  <c r="L25" i="10" s="1"/>
  <c r="K30" i="10"/>
  <c r="L30" i="10" s="1"/>
  <c r="K28" i="10"/>
  <c r="L28" i="10" s="1"/>
  <c r="K27" i="10"/>
  <c r="L27" i="10" s="1"/>
  <c r="K26" i="10"/>
  <c r="L26" i="10" s="1"/>
  <c r="K23" i="10"/>
  <c r="L23" i="10" s="1"/>
  <c r="K37" i="10"/>
  <c r="L37" i="10" s="1"/>
  <c r="K34" i="10"/>
  <c r="L34" i="10" s="1"/>
  <c r="K20" i="10"/>
  <c r="L20" i="10" s="1"/>
  <c r="K32" i="10"/>
  <c r="L32" i="10" s="1"/>
  <c r="O9" i="10"/>
  <c r="O5" i="10"/>
  <c r="O6" i="10"/>
  <c r="O8" i="10"/>
  <c r="O4" i="10"/>
  <c r="O2" i="10"/>
  <c r="O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Selman</author>
    <author>ibrahim</author>
  </authors>
  <commentList>
    <comment ref="M1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162"/>
          </rPr>
          <t>ALL IN</t>
        </r>
      </text>
    </comment>
    <comment ref="T23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162"/>
          </rPr>
          <t>Selman:</t>
        </r>
        <r>
          <rPr>
            <sz val="9"/>
            <color indexed="81"/>
            <rFont val="Tahoma"/>
            <family val="2"/>
            <charset val="162"/>
          </rPr>
          <t xml:space="preserve">
hapag llyod</t>
        </r>
      </text>
    </comment>
    <comment ref="T24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162"/>
          </rPr>
          <t>Selman:</t>
        </r>
        <r>
          <rPr>
            <sz val="9"/>
            <color indexed="81"/>
            <rFont val="Tahoma"/>
            <family val="2"/>
            <charset val="162"/>
          </rPr>
          <t xml:space="preserve">
hapag llyod</t>
        </r>
      </text>
    </comment>
    <comment ref="T25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162"/>
          </rPr>
          <t>Selman:</t>
        </r>
        <r>
          <rPr>
            <sz val="9"/>
            <color indexed="81"/>
            <rFont val="Tahoma"/>
            <family val="2"/>
            <charset val="162"/>
          </rPr>
          <t xml:space="preserve">
hapag llyod</t>
        </r>
      </text>
    </comment>
    <comment ref="W34" authorId="1" shapeId="0" xr:uid="{00000000-0006-0000-0100-000005000000}">
      <text>
        <r>
          <rPr>
            <b/>
            <sz val="9"/>
            <color indexed="81"/>
            <rFont val="Tahoma"/>
            <family val="2"/>
            <charset val="162"/>
          </rPr>
          <t>DTFood Enes gönderilecek</t>
        </r>
      </text>
    </comment>
    <comment ref="T35" authorId="1" shapeId="0" xr:uid="{00000000-0006-0000-0100-000006000000}">
      <text>
        <r>
          <rPr>
            <b/>
            <sz val="9"/>
            <color indexed="81"/>
            <rFont val="Tahoma"/>
            <charset val="1"/>
          </rPr>
          <t>Ödeme yapıldı DHL belgesi bekleniyor 5556</t>
        </r>
      </text>
    </comment>
    <comment ref="W38" authorId="1" shapeId="0" xr:uid="{00000000-0006-0000-0100-000007000000}">
      <text>
        <r>
          <rPr>
            <b/>
            <sz val="9"/>
            <color indexed="81"/>
            <rFont val="Tahoma"/>
            <family val="2"/>
            <charset val="162"/>
          </rPr>
          <t>Zeynel Abiye verilecek</t>
        </r>
      </text>
    </comment>
    <comment ref="W42" authorId="1" shapeId="0" xr:uid="{00000000-0006-0000-0100-000008000000}">
      <text>
        <r>
          <rPr>
            <b/>
            <sz val="9"/>
            <color indexed="81"/>
            <rFont val="Tahoma"/>
            <family val="2"/>
            <charset val="162"/>
          </rPr>
          <t>They're short of RCN. Expected ETD in Early Oct.</t>
        </r>
      </text>
    </comment>
    <comment ref="W57" authorId="1" shapeId="0" xr:uid="{00000000-0006-0000-0100-000009000000}">
      <text>
        <r>
          <rPr>
            <sz val="9"/>
            <color indexed="81"/>
            <rFont val="Tahoma"/>
            <family val="2"/>
            <charset val="162"/>
          </rPr>
          <t>FH</t>
        </r>
      </text>
    </comment>
    <comment ref="W58" authorId="1" shapeId="0" xr:uid="{00000000-0006-0000-0100-00000A000000}">
      <text>
        <r>
          <rPr>
            <b/>
            <sz val="9"/>
            <color indexed="81"/>
            <rFont val="Tahoma"/>
            <family val="2"/>
            <charset val="162"/>
          </rPr>
          <t>SH</t>
        </r>
      </text>
    </comment>
    <comment ref="W63" authorId="1" shapeId="0" xr:uid="{00000000-0006-0000-0100-00000B000000}">
      <text>
        <r>
          <rPr>
            <b/>
            <sz val="9"/>
            <color indexed="81"/>
            <rFont val="Tahoma"/>
            <family val="2"/>
            <charset val="162"/>
          </rPr>
          <t>Piyasada W180 olmadığı için yükleme yapılmadı. FH Nov. Yükleme, 500USD Deduct</t>
        </r>
      </text>
    </comment>
    <comment ref="W65" authorId="1" shapeId="0" xr:uid="{00000000-0006-0000-0100-00000C000000}">
      <text>
        <r>
          <rPr>
            <b/>
            <sz val="9"/>
            <color indexed="81"/>
            <rFont val="Tahoma"/>
            <family val="2"/>
            <charset val="162"/>
          </rPr>
          <t>FH NOV</t>
        </r>
      </text>
    </comment>
    <comment ref="W66" authorId="1" shapeId="0" xr:uid="{00000000-0006-0000-0100-00000D000000}">
      <text>
        <r>
          <rPr>
            <b/>
            <sz val="9"/>
            <color indexed="81"/>
            <rFont val="Tahoma"/>
            <family val="2"/>
            <charset val="162"/>
          </rPr>
          <t>FH NOV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ibrahim</author>
  </authors>
  <commentList>
    <comment ref="I1" authorId="0" shapeId="0" xr:uid="{00000000-0006-0000-0500-000001000000}">
      <text>
        <r>
          <rPr>
            <sz val="9"/>
            <color indexed="81"/>
            <rFont val="Tahoma"/>
            <family val="2"/>
            <charset val="162"/>
          </rPr>
          <t>Maks %4.5</t>
        </r>
      </text>
    </comment>
    <comment ref="J1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162"/>
          </rPr>
          <t>Maks: %0,01</t>
        </r>
      </text>
    </comment>
    <comment ref="K1" authorId="0" shapeId="0" xr:uid="{00000000-0006-0000-0500-000003000000}">
      <text>
        <r>
          <rPr>
            <b/>
            <sz val="9"/>
            <color indexed="81"/>
            <rFont val="Tahoma"/>
            <family val="2"/>
            <charset val="162"/>
          </rPr>
          <t>180: 140-180
240: 220-240
320: 300-320</t>
        </r>
      </text>
    </comment>
    <comment ref="N1" authorId="0" shapeId="0" xr:uid="{00000000-0006-0000-0500-000004000000}">
      <text>
        <r>
          <rPr>
            <b/>
            <sz val="9"/>
            <color indexed="81"/>
            <rFont val="Tahoma"/>
            <family val="2"/>
            <charset val="162"/>
          </rPr>
          <t>Maks: %10</t>
        </r>
      </text>
    </comment>
    <comment ref="S1" authorId="0" shapeId="0" xr:uid="{00000000-0006-0000-0500-000005000000}">
      <text>
        <r>
          <rPr>
            <b/>
            <sz val="9"/>
            <color indexed="81"/>
            <rFont val="Tahoma"/>
            <family val="2"/>
            <charset val="162"/>
          </rPr>
          <t>Maks: %0,5</t>
        </r>
      </text>
    </comment>
  </commentList>
</comments>
</file>

<file path=xl/sharedStrings.xml><?xml version="1.0" encoding="utf-8"?>
<sst xmlns="http://schemas.openxmlformats.org/spreadsheetml/2006/main" count="1188" uniqueCount="423">
  <si>
    <t>ETA</t>
  </si>
  <si>
    <t>FCL</t>
  </si>
  <si>
    <t>GÜNCELLEME
TARİHİ:</t>
  </si>
  <si>
    <t>FLEXIPACKS</t>
  </si>
  <si>
    <t>WW320</t>
  </si>
  <si>
    <t>HD CASHEW</t>
  </si>
  <si>
    <t>Freight
Per LB</t>
  </si>
  <si>
    <t>Transit</t>
  </si>
  <si>
    <t>Contract</t>
  </si>
  <si>
    <t>Ref. No.</t>
  </si>
  <si>
    <t>B/L No</t>
  </si>
  <si>
    <t>Quantity
KG</t>
  </si>
  <si>
    <t>Quantity
LB</t>
  </si>
  <si>
    <t>Packaging</t>
  </si>
  <si>
    <t>Crop</t>
  </si>
  <si>
    <t>Product</t>
  </si>
  <si>
    <t>Seller</t>
  </si>
  <si>
    <t>Shipper</t>
  </si>
  <si>
    <t>VINH PHUONG</t>
  </si>
  <si>
    <t>WW240</t>
  </si>
  <si>
    <t>LIEN VIET</t>
  </si>
  <si>
    <t>REF</t>
  </si>
  <si>
    <t>CNF
PRICE</t>
  </si>
  <si>
    <t>FOB
Price</t>
  </si>
  <si>
    <t>TYPE</t>
  </si>
  <si>
    <t>NGAN NGOC</t>
  </si>
  <si>
    <t>TRU LANH</t>
  </si>
  <si>
    <t>MANH TUAN</t>
  </si>
  <si>
    <t>HD46511</t>
  </si>
  <si>
    <t>NGOC DIEP</t>
  </si>
  <si>
    <t>HD46411</t>
  </si>
  <si>
    <t>HD46311</t>
  </si>
  <si>
    <t>HD47411</t>
  </si>
  <si>
    <t>25032-IT25154014</t>
  </si>
  <si>
    <t>25031-IT25154013</t>
  </si>
  <si>
    <t>25030-IT25154012</t>
  </si>
  <si>
    <t>HD48511</t>
  </si>
  <si>
    <t>HD49711</t>
  </si>
  <si>
    <t>25051-IT25154023</t>
  </si>
  <si>
    <t>25064-IT25154031</t>
  </si>
  <si>
    <t>MEDUOE948114</t>
  </si>
  <si>
    <t>MEDUOE979309</t>
  </si>
  <si>
    <t>MEDUH8009944</t>
  </si>
  <si>
    <t>MEDUH8104836</t>
  </si>
  <si>
    <t>MEDUH8121087</t>
  </si>
  <si>
    <t>MEDUH8156158</t>
  </si>
  <si>
    <t>MEDUH8157990</t>
  </si>
  <si>
    <t>25070-IT25154033</t>
  </si>
  <si>
    <t>25074-IT25154034</t>
  </si>
  <si>
    <t>MEDUH8220780</t>
  </si>
  <si>
    <t>HD56811</t>
  </si>
  <si>
    <t>MEDUH8248658</t>
  </si>
  <si>
    <t>HD57711</t>
  </si>
  <si>
    <t>MEDUH8403261</t>
  </si>
  <si>
    <t>MEDUH8462408</t>
  </si>
  <si>
    <t>MEDUH8462416</t>
  </si>
  <si>
    <t>MEDUHP005737</t>
  </si>
  <si>
    <t>25132-IT25154096</t>
  </si>
  <si>
    <t>25147-IT25154097</t>
  </si>
  <si>
    <t>HD59111</t>
  </si>
  <si>
    <t>HD59211</t>
  </si>
  <si>
    <t>25155-IT25154137</t>
  </si>
  <si>
    <t>25172-IT25154132</t>
  </si>
  <si>
    <t>25173-IT25154131</t>
  </si>
  <si>
    <t>MEDUHP196163</t>
  </si>
  <si>
    <t>MEDUHP199142</t>
  </si>
  <si>
    <t>ETD</t>
  </si>
  <si>
    <t>HD03012</t>
  </si>
  <si>
    <t>25196-IT25154149</t>
  </si>
  <si>
    <t>25206-IT25154154</t>
  </si>
  <si>
    <t>MEDUHP428095</t>
  </si>
  <si>
    <t>MEDUHP449844</t>
  </si>
  <si>
    <t>HD21012</t>
  </si>
  <si>
    <t>25242-IT25154178</t>
  </si>
  <si>
    <t>25258-IT25154192</t>
  </si>
  <si>
    <t>25261-IT25154191</t>
  </si>
  <si>
    <t>MEDUHQ071050</t>
  </si>
  <si>
    <t>MEDUHQ178665</t>
  </si>
  <si>
    <t>MEDUHQ070235</t>
  </si>
  <si>
    <t>MEDUHQ493825</t>
  </si>
  <si>
    <t>MEDUHQ437863</t>
  </si>
  <si>
    <t>MEDUHQ437756</t>
  </si>
  <si>
    <t>HD41312</t>
  </si>
  <si>
    <t>MEDUHQ575332</t>
  </si>
  <si>
    <t>Freight</t>
  </si>
  <si>
    <t>25286-IT25154209</t>
  </si>
  <si>
    <t>MEDUHQ721324</t>
  </si>
  <si>
    <t>MEDUHQ769349</t>
  </si>
  <si>
    <t>MEDUHQ768986</t>
  </si>
  <si>
    <t>HD46412</t>
  </si>
  <si>
    <t>HD47812</t>
  </si>
  <si>
    <t>WW180</t>
  </si>
  <si>
    <t>HD48112</t>
  </si>
  <si>
    <t>Antrepo Bey. No</t>
  </si>
  <si>
    <t>MEDUHQ833079</t>
  </si>
  <si>
    <t>Konteyner No</t>
  </si>
  <si>
    <t>Yolda</t>
  </si>
  <si>
    <t>Antrepoda</t>
  </si>
  <si>
    <t>İçeri Çekildi</t>
  </si>
  <si>
    <t>Yüklenmedi</t>
  </si>
  <si>
    <t>MSDU4075939</t>
  </si>
  <si>
    <t>HD46212-1</t>
  </si>
  <si>
    <t>MSBU4590335</t>
  </si>
  <si>
    <t>FSCU4163089</t>
  </si>
  <si>
    <t>HD50812</t>
  </si>
  <si>
    <t>HD50712-1</t>
  </si>
  <si>
    <t>HD50712-2</t>
  </si>
  <si>
    <t>HD29412-1</t>
  </si>
  <si>
    <t>HD29412-2</t>
  </si>
  <si>
    <t>TXGU7262063</t>
  </si>
  <si>
    <t>GAOU7622115</t>
  </si>
  <si>
    <t>MSBU4022649</t>
  </si>
  <si>
    <t>TCKU4301533</t>
  </si>
  <si>
    <t>MSDU7330895</t>
  </si>
  <si>
    <t>MSMU4735690</t>
  </si>
  <si>
    <t>HAMU4093393</t>
  </si>
  <si>
    <t>UETU5170212</t>
  </si>
  <si>
    <t>Sipariş Tarihi</t>
  </si>
  <si>
    <t>MSDU4120180</t>
  </si>
  <si>
    <t>MSDU4414349</t>
  </si>
  <si>
    <t>FSCU4854692</t>
  </si>
  <si>
    <t>26010-IT26154014</t>
  </si>
  <si>
    <t>26010-IT25154014</t>
  </si>
  <si>
    <t>26011-IT26154015</t>
  </si>
  <si>
    <t>Kontrat No.</t>
  </si>
  <si>
    <t>Nem</t>
  </si>
  <si>
    <t>Yabancı Madde</t>
  </si>
  <si>
    <t>Kalibre</t>
  </si>
  <si>
    <t>Ucu Kırık</t>
  </si>
  <si>
    <t>Küçük Kal.</t>
  </si>
  <si>
    <t>Büyük Kal.</t>
  </si>
  <si>
    <t>Analiz Tarihi</t>
  </si>
  <si>
    <t>Bölüm</t>
  </si>
  <si>
    <t>Analiz Yapan</t>
  </si>
  <si>
    <t>H.Cansu</t>
  </si>
  <si>
    <t>Farklı Renk</t>
  </si>
  <si>
    <t>Böcek Yenikli</t>
  </si>
  <si>
    <t>Urlu</t>
  </si>
  <si>
    <t>Lekeli</t>
  </si>
  <si>
    <t>Zarlı</t>
  </si>
  <si>
    <t>Şak-Kırık</t>
  </si>
  <si>
    <t>Kırık</t>
  </si>
  <si>
    <t>Şak</t>
  </si>
  <si>
    <t>26002-IT26154002</t>
  </si>
  <si>
    <t>26003-IT26154003</t>
  </si>
  <si>
    <t>26006-IT26154006</t>
  </si>
  <si>
    <t>26008-IT26154012</t>
  </si>
  <si>
    <t>26009-IT26154013</t>
  </si>
  <si>
    <t>26001-IT26154001</t>
  </si>
  <si>
    <t>HD46212-2</t>
  </si>
  <si>
    <t>MEDUHQ845693</t>
  </si>
  <si>
    <t>Stok Kodu</t>
  </si>
  <si>
    <t>Stok Adı</t>
  </si>
  <si>
    <t>Kg</t>
  </si>
  <si>
    <t>Antrepo No</t>
  </si>
  <si>
    <t>Ref. No</t>
  </si>
  <si>
    <t>Contract No</t>
  </si>
  <si>
    <t>Firma Adı</t>
  </si>
  <si>
    <t>Parti No</t>
  </si>
  <si>
    <t>MSDU4296014</t>
  </si>
  <si>
    <t>Satın Alma Bağlantısı</t>
  </si>
  <si>
    <t>MSBU4047729</t>
  </si>
  <si>
    <t>Manuel Seçilecek</t>
  </si>
  <si>
    <t>HD29312-1</t>
  </si>
  <si>
    <t>HD20912-2</t>
  </si>
  <si>
    <t>HD20912-3</t>
  </si>
  <si>
    <t>HD29312-2</t>
  </si>
  <si>
    <t>HD29312-3</t>
  </si>
  <si>
    <t>+</t>
  </si>
  <si>
    <t>SEGU6899150</t>
  </si>
  <si>
    <t>MSBU4032987</t>
  </si>
  <si>
    <t>MSDU4560106</t>
  </si>
  <si>
    <t>HD05312-1</t>
  </si>
  <si>
    <t>MSDU4130928</t>
  </si>
  <si>
    <t>MSDU4566450</t>
  </si>
  <si>
    <t>MSDU4309929</t>
  </si>
  <si>
    <t>MSDU4165400</t>
  </si>
  <si>
    <t>MSCU4794435</t>
  </si>
  <si>
    <t>MSDU4622173</t>
  </si>
  <si>
    <t>MSDU4618419</t>
  </si>
  <si>
    <t>MSDU4170601</t>
  </si>
  <si>
    <t>MEDU4183366</t>
  </si>
  <si>
    <t>MSDU4727580</t>
  </si>
  <si>
    <t>MSDU4390756</t>
  </si>
  <si>
    <t>MSDU4403560</t>
  </si>
  <si>
    <t>MSDU4811541</t>
  </si>
  <si>
    <t>TTNU5156838</t>
  </si>
  <si>
    <t>HD29612-1</t>
  </si>
  <si>
    <t>HD29612-2</t>
  </si>
  <si>
    <t>HD05312-01</t>
  </si>
  <si>
    <t>HD55711-01</t>
  </si>
  <si>
    <t>MSDU4495422</t>
  </si>
  <si>
    <t>HD50811-01</t>
  </si>
  <si>
    <t>HD50811-03</t>
  </si>
  <si>
    <t>MSDU4219487</t>
  </si>
  <si>
    <t>HD45211</t>
  </si>
  <si>
    <t>HD28811</t>
  </si>
  <si>
    <t>MSNU7192604</t>
  </si>
  <si>
    <t>HD29711</t>
  </si>
  <si>
    <t>MEDUF2749325</t>
  </si>
  <si>
    <t>HD50811-02</t>
  </si>
  <si>
    <t>HD55711-02</t>
  </si>
  <si>
    <t>HD34511-01</t>
  </si>
  <si>
    <t>ZCSU7774760</t>
  </si>
  <si>
    <t>H5130003</t>
  </si>
  <si>
    <t>HW.CASHEW NUT W320____________( 22.68 KG )</t>
  </si>
  <si>
    <t>H5130164</t>
  </si>
  <si>
    <t>HW.CASHEW NUT W180____________( 22.68 KG )</t>
  </si>
  <si>
    <t>H5130001</t>
  </si>
  <si>
    <t>HW.CASHEW NUT W240____________( 22.68 KG )</t>
  </si>
  <si>
    <t>MSBU4597622</t>
  </si>
  <si>
    <t>HD48012-1</t>
  </si>
  <si>
    <t>HD48012-2</t>
  </si>
  <si>
    <t>HD48012-3</t>
  </si>
  <si>
    <t>MSMU8467868</t>
  </si>
  <si>
    <t>MSMU6646910</t>
  </si>
  <si>
    <t>MEDUHQ837781</t>
  </si>
  <si>
    <t>Booking No</t>
  </si>
  <si>
    <t>EBKG14074369</t>
  </si>
  <si>
    <t>EBKG14120868</t>
  </si>
  <si>
    <t>MSNU5185817</t>
  </si>
  <si>
    <t>MEDUHQ853911</t>
  </si>
  <si>
    <t>EBKG14066450</t>
  </si>
  <si>
    <t>EBKG14066518</t>
  </si>
  <si>
    <t>26037-IT26154035</t>
  </si>
  <si>
    <t>EBKG14066593</t>
  </si>
  <si>
    <t>MEDUHQ845800</t>
  </si>
  <si>
    <t>HD47912-1</t>
  </si>
  <si>
    <t>HD47912-2</t>
  </si>
  <si>
    <t>EBKG14066853</t>
  </si>
  <si>
    <t>MSBU4168504</t>
  </si>
  <si>
    <t>MSDU4599200</t>
  </si>
  <si>
    <t>MEDUHQ845560</t>
  </si>
  <si>
    <t>MEDUHQ854240 </t>
  </si>
  <si>
    <t>TRHU7347860</t>
  </si>
  <si>
    <t>HD29412-3</t>
  </si>
  <si>
    <t>HD46312-1</t>
  </si>
  <si>
    <t>HD46312-2</t>
  </si>
  <si>
    <t>EBKG14241605</t>
  </si>
  <si>
    <t>MEDUHQ929687</t>
  </si>
  <si>
    <t>EBKG13297042</t>
  </si>
  <si>
    <t>EBKG13296549</t>
  </si>
  <si>
    <t>EBKG13395422</t>
  </si>
  <si>
    <t>EBKG13557543</t>
  </si>
  <si>
    <t>Tır No</t>
  </si>
  <si>
    <t>EBKG14120949</t>
  </si>
  <si>
    <t>Lot</t>
  </si>
  <si>
    <t>Emre Öztürk</t>
  </si>
  <si>
    <t>Kaju</t>
  </si>
  <si>
    <t>Sevk Yeri/Müşteri</t>
  </si>
  <si>
    <t>İç Piyasa</t>
  </si>
  <si>
    <t>Polarizasyon Değeri</t>
  </si>
  <si>
    <t>Tuz Oranı (%)</t>
  </si>
  <si>
    <t>Kz. Sıcaklığı (°C)</t>
  </si>
  <si>
    <t>Kz. Süresi (sn)</t>
  </si>
  <si>
    <t>Koyu Tane (%)</t>
  </si>
  <si>
    <t>Bozuk (%)</t>
  </si>
  <si>
    <t>Zarlı (%)</t>
  </si>
  <si>
    <t>Lekeli (%)</t>
  </si>
  <si>
    <t>Böcek Yenikli(%)</t>
  </si>
  <si>
    <t>Ur(%)</t>
  </si>
  <si>
    <t>Ucu Kırık(%)</t>
  </si>
  <si>
    <t>Kırık(%)</t>
  </si>
  <si>
    <t>Şak(%)</t>
  </si>
  <si>
    <t>Yabancı Madde(%)</t>
  </si>
  <si>
    <t>Nem(%)</t>
  </si>
  <si>
    <t>Hava Cansu</t>
  </si>
  <si>
    <t>EBKG13861396</t>
  </si>
  <si>
    <t>EBKG13940113</t>
  </si>
  <si>
    <t>EBKG13939828</t>
  </si>
  <si>
    <t>HD47712-1</t>
  </si>
  <si>
    <t>HD47712-2</t>
  </si>
  <si>
    <t>MEDUHQ862177</t>
  </si>
  <si>
    <t>MSDU4174741</t>
  </si>
  <si>
    <t>MEDUHQ862268</t>
  </si>
  <si>
    <t>MSBU4024322</t>
  </si>
  <si>
    <t>EBKG14134567</t>
  </si>
  <si>
    <t>EBKG14134577</t>
  </si>
  <si>
    <t>DSV0990402</t>
  </si>
  <si>
    <t>DSV0991421</t>
  </si>
  <si>
    <t>EBKG14027900</t>
  </si>
  <si>
    <t>HD47612-1</t>
  </si>
  <si>
    <t>HD47612-2</t>
  </si>
  <si>
    <t>MSCU4388307</t>
  </si>
  <si>
    <t>MSDU4135684</t>
  </si>
  <si>
    <t>MEDUHQ815092</t>
  </si>
  <si>
    <t>HD29412-7</t>
  </si>
  <si>
    <t>HD29412-8</t>
  </si>
  <si>
    <t>HD29412-9</t>
  </si>
  <si>
    <t>EBKG14296265</t>
  </si>
  <si>
    <t>TOPLAM</t>
  </si>
  <si>
    <t>MSBU4587120</t>
  </si>
  <si>
    <t>Ortalama Fiyat</t>
  </si>
  <si>
    <t>Sayım</t>
  </si>
  <si>
    <t>Fiyat Toplam</t>
  </si>
  <si>
    <t>Ortalama</t>
  </si>
  <si>
    <t>Tarih Aralığı</t>
  </si>
  <si>
    <t>Ürün Adı</t>
  </si>
  <si>
    <t>Tır No.</t>
  </si>
  <si>
    <t>W.CASHEW NUT W320 KAV.(SEMBOL)</t>
  </si>
  <si>
    <t>W.CASHEW NUT W240 KAV.(STAR)</t>
  </si>
  <si>
    <t>W.CASHEW NUT W320 KAVR (BUNGEE)</t>
  </si>
  <si>
    <t>Giriş Lot No</t>
  </si>
  <si>
    <t>Çıkış Lot No.</t>
  </si>
  <si>
    <t>Çıkış Analizi</t>
  </si>
  <si>
    <t>Giriş Stok Adı</t>
  </si>
  <si>
    <t>Giriş Stok Kodu</t>
  </si>
  <si>
    <t>Çıkış Stok Kodu</t>
  </si>
  <si>
    <t>Çıkış Stok Adı</t>
  </si>
  <si>
    <t>Giriş Kg</t>
  </si>
  <si>
    <t>Çıkış Miktar</t>
  </si>
  <si>
    <t>HD54812</t>
  </si>
  <si>
    <t>EBKG14340236</t>
  </si>
  <si>
    <t>MEDUHQ985556</t>
  </si>
  <si>
    <t>Mahsul Yılı</t>
  </si>
  <si>
    <t>Tır</t>
  </si>
  <si>
    <t>Şak Kırık</t>
  </si>
  <si>
    <t>Harman Oranı</t>
  </si>
  <si>
    <t>Sonuç</t>
  </si>
  <si>
    <t>Ort. Kalibre</t>
  </si>
  <si>
    <t>Ort. Şak Kırık</t>
  </si>
  <si>
    <t>11/09/24-23/09/25</t>
  </si>
  <si>
    <t>Oran</t>
  </si>
  <si>
    <t>HD55212-1</t>
  </si>
  <si>
    <t>HD55212-2</t>
  </si>
  <si>
    <t>Giriş Analizi Bağlantısı</t>
  </si>
  <si>
    <t>EBKG10883487</t>
  </si>
  <si>
    <t>EBKG10995144</t>
  </si>
  <si>
    <t>26079-IT26154066</t>
  </si>
  <si>
    <t>MSDU4045390</t>
  </si>
  <si>
    <t>MSDU4061318</t>
  </si>
  <si>
    <t>26086-IT26154073</t>
  </si>
  <si>
    <t>HD20912-1</t>
  </si>
  <si>
    <t>EBKG14415987</t>
  </si>
  <si>
    <t>MEDUKS331529</t>
  </si>
  <si>
    <t>MEDUHQ894212</t>
  </si>
  <si>
    <t>MSDU5662530</t>
  </si>
  <si>
    <t>MSDU8302394</t>
  </si>
  <si>
    <t>EBKG14183451</t>
  </si>
  <si>
    <t>MSDU6116169</t>
  </si>
  <si>
    <t>MSDU6853314</t>
  </si>
  <si>
    <t>MSDU8079953</t>
  </si>
  <si>
    <t>EBKG14439714</t>
  </si>
  <si>
    <t>EBKG14439568</t>
  </si>
  <si>
    <t>EBKG14439857</t>
  </si>
  <si>
    <t>Limanda</t>
  </si>
  <si>
    <t>HD56612</t>
  </si>
  <si>
    <t>HD56712</t>
  </si>
  <si>
    <t>CAO PHAT</t>
  </si>
  <si>
    <t>EBKG14493762</t>
  </si>
  <si>
    <t>MEDUKS375732</t>
  </si>
  <si>
    <t>MSDU6342818</t>
  </si>
  <si>
    <t>MSBU5061212</t>
  </si>
  <si>
    <t>MSMU7466194</t>
  </si>
  <si>
    <t>HD57112</t>
  </si>
  <si>
    <t>HD29412-4</t>
  </si>
  <si>
    <t>HD29412-5</t>
  </si>
  <si>
    <t>HD29412-6</t>
  </si>
  <si>
    <t>26092-IT26154078</t>
  </si>
  <si>
    <t>26093-IT26154077</t>
  </si>
  <si>
    <t>MEDUKS346543</t>
  </si>
  <si>
    <t>Üretim Planı Sonrası Kalan Kg</t>
  </si>
  <si>
    <t>Giriş Miktar</t>
  </si>
  <si>
    <t>Kalan Oran</t>
  </si>
  <si>
    <t>Kullanılan Oran</t>
  </si>
  <si>
    <t>Kalan Miktar</t>
  </si>
  <si>
    <t>AN00028332</t>
  </si>
  <si>
    <t>AN00029898</t>
  </si>
  <si>
    <t>AN00025929</t>
  </si>
  <si>
    <t>EBKG14568339</t>
  </si>
  <si>
    <t>MEDUKS417161</t>
  </si>
  <si>
    <t>EBKG14568509</t>
  </si>
  <si>
    <t>MEDUKS417187</t>
  </si>
  <si>
    <t>HD57212</t>
  </si>
  <si>
    <t>MSDU8963619</t>
  </si>
  <si>
    <t>HD57312</t>
  </si>
  <si>
    <t>MEDUKS346436</t>
  </si>
  <si>
    <t>MEDUKS346477</t>
  </si>
  <si>
    <t>MSNU7309922</t>
  </si>
  <si>
    <t>AN00039126</t>
  </si>
  <si>
    <t>AN00039845</t>
  </si>
  <si>
    <t>AN0003984</t>
  </si>
  <si>
    <t>MSNU7487776</t>
  </si>
  <si>
    <t>26097-IT26154080</t>
  </si>
  <si>
    <t>TIIU5173894</t>
  </si>
  <si>
    <t>MSBU8191143</t>
  </si>
  <si>
    <t>AN00040536</t>
  </si>
  <si>
    <t>EBKG14592653</t>
  </si>
  <si>
    <t>MSDU4073453</t>
  </si>
  <si>
    <t>MEDUKS431592</t>
  </si>
  <si>
    <t>MEDUKS409259</t>
  </si>
  <si>
    <t>MSNU6806420</t>
  </si>
  <si>
    <t>EBKG14557556</t>
  </si>
  <si>
    <t>EBKG14757715</t>
  </si>
  <si>
    <t>MEDUKS829100</t>
  </si>
  <si>
    <t>EBKG14757810</t>
  </si>
  <si>
    <t>MEDUKS829142</t>
  </si>
  <si>
    <t>26105-IT26154086</t>
  </si>
  <si>
    <t>FFAU5672232</t>
  </si>
  <si>
    <t>TGBU7469166</t>
  </si>
  <si>
    <t>ÇEREZAL</t>
  </si>
  <si>
    <t>EBKG14439936</t>
  </si>
  <si>
    <t>Miktar</t>
  </si>
  <si>
    <t>a</t>
  </si>
  <si>
    <t>34 33?</t>
  </si>
  <si>
    <t>AN00043225</t>
  </si>
  <si>
    <t>AN00043226</t>
  </si>
  <si>
    <t>AN00043228</t>
  </si>
  <si>
    <t>AN00043227</t>
  </si>
  <si>
    <t>AN00043760</t>
  </si>
  <si>
    <t>AN00043755</t>
  </si>
  <si>
    <t>AN00043759</t>
  </si>
  <si>
    <t>AN00043756</t>
  </si>
  <si>
    <t>Sınıf</t>
  </si>
  <si>
    <t>W320</t>
  </si>
  <si>
    <t>W240</t>
  </si>
  <si>
    <t>HD48012-4</t>
  </si>
  <si>
    <t>HD48012-5</t>
  </si>
  <si>
    <t>Eski Fiyat</t>
  </si>
  <si>
    <t>Güncel Fiyat</t>
  </si>
  <si>
    <t>Beklenen</t>
  </si>
  <si>
    <t>Antrepo</t>
  </si>
  <si>
    <t>Depo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</si>
</sst>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0\ _T_L_-;\-* #,##0.00\ _T_L_-;_-* &quot;-&quot;??\ _T_L_-;_-@_-"/>
    <numFmt numFmtId="165" formatCode="[$$-409]#,##0.00"/>
    <numFmt numFmtId="166" formatCode="#,##0.00_ ;\-#,##0.00\ "/>
    <numFmt numFmtId="167" formatCode="0_ ;\-0\ "/>
    <numFmt numFmtId="168" formatCode="0.0"/>
    <numFmt numFmtId="171" formatCode="#,##0.0"/>
  </numFmts>
  <fonts count="13" x14ac:knownFonts="1">
    <font>
      <sz val="10"/>
      <name val="Arial"/>
    </font>
    <font>
      <sz val="10"/>
      <name val="Arial"/>
      <family val="2"/>
      <charset val="162"/>
    </font>
    <font>
      <sz val="10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1"/>
      <name val="Calibri"/>
      <family val="2"/>
      <charset val="162"/>
    </font>
    <font>
      <sz val="11"/>
      <name val="Calibri"/>
      <family val="2"/>
      <charset val="162"/>
    </font>
    <font>
      <sz val="10"/>
      <color rgb="FF201F35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0"/>
      <color rgb="FF201F35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1"/>
      <name val="Calibri"/>
      <family val="2"/>
      <charset val="162"/>
      <scheme val="minor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</patternFill>
    </fill>
    <fill>
      <patternFill patternType="solid">
        <fgColor rgb="FFE8E8E8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4" fillId="4" borderId="0">
      <alignment horizontal="center" vertical="center"/>
    </xf>
    <xf numFmtId="0" fontId="5" fillId="0" borderId="0"/>
    <xf numFmtId="0" fontId="5" fillId="5" borderId="0">
      <alignment vertical="center"/>
    </xf>
    <xf numFmtId="4" fontId="5" fillId="5" borderId="0">
      <alignment vertical="center"/>
    </xf>
    <xf numFmtId="14" fontId="5" fillId="5" borderId="0">
      <alignment vertical="center"/>
    </xf>
    <xf numFmtId="0" fontId="5" fillId="4" borderId="0">
      <alignment vertical="center"/>
    </xf>
    <xf numFmtId="4" fontId="5" fillId="4" borderId="0">
      <alignment vertical="center"/>
    </xf>
    <xf numFmtId="14" fontId="5" fillId="4" borderId="0">
      <alignment vertical="center"/>
    </xf>
    <xf numFmtId="0" fontId="7" fillId="0" borderId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174">
    <xf numFmtId="0" fontId="0" fillId="0" borderId="0" xfId="0"/>
    <xf numFmtId="49" fontId="6" fillId="2" borderId="1" xfId="10" applyNumberFormat="1" applyFont="1" applyFill="1" applyBorder="1" applyAlignment="1">
      <alignment horizontal="center" vertical="center" readingOrder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165" fontId="2" fillId="2" borderId="0" xfId="0" applyNumberFormat="1" applyFont="1" applyFill="1" applyAlignment="1">
      <alignment horizontal="right" vertical="center"/>
    </xf>
    <xf numFmtId="166" fontId="2" fillId="2" borderId="0" xfId="1" applyNumberFormat="1" applyFont="1" applyFill="1" applyBorder="1" applyAlignment="1">
      <alignment horizontal="right" vertical="center"/>
    </xf>
    <xf numFmtId="1" fontId="2" fillId="2" borderId="0" xfId="0" applyNumberFormat="1" applyFont="1" applyFill="1" applyAlignment="1">
      <alignment horizontal="center" vertical="center"/>
    </xf>
    <xf numFmtId="166" fontId="3" fillId="3" borderId="1" xfId="1" applyNumberFormat="1" applyFont="1" applyFill="1" applyBorder="1" applyAlignment="1">
      <alignment horizontal="left" vertical="center" wrapText="1"/>
    </xf>
    <xf numFmtId="0" fontId="3" fillId="3" borderId="1" xfId="2" applyFont="1" applyFill="1" applyBorder="1" applyAlignment="1">
      <alignment horizontal="center" vertical="center" wrapText="1"/>
    </xf>
    <xf numFmtId="165" fontId="3" fillId="3" borderId="1" xfId="2" applyNumberFormat="1" applyFont="1" applyFill="1" applyBorder="1" applyAlignment="1">
      <alignment horizontal="left" vertical="center" wrapText="1"/>
    </xf>
    <xf numFmtId="167" fontId="2" fillId="2" borderId="0" xfId="1" applyNumberFormat="1" applyFont="1" applyFill="1" applyBorder="1" applyAlignment="1">
      <alignment horizontal="center" vertical="center" wrapText="1"/>
    </xf>
    <xf numFmtId="1" fontId="3" fillId="2" borderId="0" xfId="0" applyNumberFormat="1" applyFont="1" applyFill="1" applyAlignment="1">
      <alignment vertical="center"/>
    </xf>
    <xf numFmtId="0" fontId="3" fillId="3" borderId="1" xfId="2" applyFont="1" applyFill="1" applyBorder="1" applyAlignment="1">
      <alignment horizontal="left" vertical="center"/>
    </xf>
    <xf numFmtId="1" fontId="3" fillId="3" borderId="1" xfId="2" applyNumberFormat="1" applyFont="1" applyFill="1" applyBorder="1" applyAlignment="1">
      <alignment horizontal="left" vertical="center"/>
    </xf>
    <xf numFmtId="167" fontId="3" fillId="3" borderId="1" xfId="1" applyNumberFormat="1" applyFont="1" applyFill="1" applyBorder="1" applyAlignment="1">
      <alignment horizontal="left" vertical="center" wrapText="1"/>
    </xf>
    <xf numFmtId="0" fontId="3" fillId="3" borderId="1" xfId="2" applyFont="1" applyFill="1" applyBorder="1">
      <alignment horizontal="center" vertical="center"/>
    </xf>
    <xf numFmtId="0" fontId="3" fillId="3" borderId="1" xfId="2" applyFont="1" applyFill="1" applyBorder="1" applyAlignment="1">
      <alignment vertical="center" wrapText="1"/>
    </xf>
    <xf numFmtId="165" fontId="3" fillId="3" borderId="1" xfId="1" applyNumberFormat="1" applyFont="1" applyFill="1" applyBorder="1" applyAlignment="1">
      <alignment horizontal="left" vertical="center" wrapText="1"/>
    </xf>
    <xf numFmtId="165" fontId="2" fillId="2" borderId="0" xfId="1" applyNumberFormat="1" applyFont="1" applyFill="1" applyAlignment="1">
      <alignment horizontal="center" vertical="center"/>
    </xf>
    <xf numFmtId="14" fontId="6" fillId="2" borderId="1" xfId="10" applyNumberFormat="1" applyFont="1" applyFill="1" applyBorder="1" applyAlignment="1">
      <alignment horizontal="center" vertical="center" readingOrder="1"/>
    </xf>
    <xf numFmtId="0" fontId="2" fillId="6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14" fontId="0" fillId="0" borderId="0" xfId="0" applyNumberFormat="1"/>
    <xf numFmtId="14" fontId="3" fillId="3" borderId="1" xfId="2" applyNumberFormat="1" applyFont="1" applyFill="1" applyBorder="1" applyAlignment="1">
      <alignment horizontal="left" vertical="center"/>
    </xf>
    <xf numFmtId="49" fontId="3" fillId="3" borderId="1" xfId="2" applyNumberFormat="1" applyFont="1" applyFill="1" applyBorder="1" applyAlignment="1">
      <alignment horizontal="left" vertical="center"/>
    </xf>
    <xf numFmtId="49" fontId="0" fillId="0" borderId="0" xfId="0" applyNumberFormat="1"/>
    <xf numFmtId="10" fontId="3" fillId="3" borderId="1" xfId="2" applyNumberFormat="1" applyFont="1" applyFill="1" applyBorder="1" applyAlignment="1">
      <alignment horizontal="left" vertical="center"/>
    </xf>
    <xf numFmtId="10" fontId="6" fillId="2" borderId="1" xfId="10" applyNumberFormat="1" applyFont="1" applyFill="1" applyBorder="1" applyAlignment="1">
      <alignment horizontal="center" vertical="center" readingOrder="1"/>
    </xf>
    <xf numFmtId="10" fontId="0" fillId="0" borderId="0" xfId="0" applyNumberFormat="1"/>
    <xf numFmtId="0" fontId="6" fillId="2" borderId="1" xfId="10" applyFont="1" applyFill="1" applyBorder="1" applyAlignment="1">
      <alignment horizontal="center" vertical="center" wrapText="1" readingOrder="1"/>
    </xf>
    <xf numFmtId="0" fontId="6" fillId="2" borderId="1" xfId="10" applyFont="1" applyFill="1" applyBorder="1" applyAlignment="1">
      <alignment horizontal="center" vertical="center" readingOrder="1"/>
    </xf>
    <xf numFmtId="0" fontId="2" fillId="9" borderId="0" xfId="0" applyFont="1" applyFill="1" applyAlignment="1">
      <alignment vertical="center"/>
    </xf>
    <xf numFmtId="49" fontId="6" fillId="0" borderId="1" xfId="10" applyNumberFormat="1" applyFont="1" applyBorder="1" applyAlignment="1">
      <alignment horizontal="left" vertical="center" readingOrder="1"/>
    </xf>
    <xf numFmtId="0" fontId="6" fillId="0" borderId="1" xfId="10" applyFont="1" applyBorder="1" applyAlignment="1">
      <alignment horizontal="left" vertical="center" wrapText="1" readingOrder="1"/>
    </xf>
    <xf numFmtId="0" fontId="6" fillId="0" borderId="1" xfId="10" applyFont="1" applyBorder="1" applyAlignment="1">
      <alignment horizontal="left" vertical="center" readingOrder="1"/>
    </xf>
    <xf numFmtId="4" fontId="3" fillId="3" borderId="1" xfId="2" applyNumberFormat="1" applyFont="1" applyFill="1" applyBorder="1" applyAlignment="1">
      <alignment horizontal="left" vertical="center"/>
    </xf>
    <xf numFmtId="4" fontId="6" fillId="0" borderId="1" xfId="10" applyNumberFormat="1" applyFont="1" applyBorder="1" applyAlignment="1">
      <alignment horizontal="left" vertical="center" wrapText="1" readingOrder="1"/>
    </xf>
    <xf numFmtId="4" fontId="0" fillId="0" borderId="0" xfId="0" applyNumberFormat="1"/>
    <xf numFmtId="14" fontId="6" fillId="0" borderId="1" xfId="10" applyNumberFormat="1" applyFont="1" applyBorder="1" applyAlignment="1">
      <alignment horizontal="right" vertical="center" readingOrder="1"/>
    </xf>
    <xf numFmtId="0" fontId="6" fillId="0" borderId="1" xfId="10" applyFont="1" applyBorder="1" applyAlignment="1">
      <alignment horizontal="right" vertical="center" readingOrder="1"/>
    </xf>
    <xf numFmtId="49" fontId="6" fillId="0" borderId="1" xfId="10" applyNumberFormat="1" applyFont="1" applyBorder="1" applyAlignment="1">
      <alignment horizontal="center" vertical="center" readingOrder="1"/>
    </xf>
    <xf numFmtId="0" fontId="6" fillId="0" borderId="1" xfId="10" applyFont="1" applyBorder="1" applyAlignment="1">
      <alignment horizontal="center" vertical="center" readingOrder="1"/>
    </xf>
    <xf numFmtId="165" fontId="6" fillId="0" borderId="1" xfId="10" applyNumberFormat="1" applyFont="1" applyBorder="1" applyAlignment="1">
      <alignment horizontal="right" vertical="center" readingOrder="1"/>
    </xf>
    <xf numFmtId="165" fontId="6" fillId="0" borderId="1" xfId="1" applyNumberFormat="1" applyFont="1" applyFill="1" applyBorder="1" applyAlignment="1">
      <alignment horizontal="center" vertical="center" readingOrder="1"/>
    </xf>
    <xf numFmtId="165" fontId="8" fillId="0" borderId="1" xfId="10" applyNumberFormat="1" applyFont="1" applyBorder="1" applyAlignment="1">
      <alignment horizontal="right" vertical="center" readingOrder="1"/>
    </xf>
    <xf numFmtId="166" fontId="6" fillId="0" borderId="1" xfId="1" applyNumberFormat="1" applyFont="1" applyFill="1" applyBorder="1" applyAlignment="1">
      <alignment horizontal="right" vertical="center" readingOrder="1"/>
    </xf>
    <xf numFmtId="167" fontId="6" fillId="0" borderId="1" xfId="1" applyNumberFormat="1" applyFont="1" applyFill="1" applyBorder="1" applyAlignment="1">
      <alignment horizontal="center" vertical="center" wrapText="1" readingOrder="1"/>
    </xf>
    <xf numFmtId="49" fontId="6" fillId="0" borderId="1" xfId="10" applyNumberFormat="1" applyFont="1" applyBorder="1" applyAlignment="1">
      <alignment vertical="center" readingOrder="1"/>
    </xf>
    <xf numFmtId="14" fontId="6" fillId="0" borderId="1" xfId="10" applyNumberFormat="1" applyFont="1" applyBorder="1" applyAlignment="1">
      <alignment horizontal="center" vertical="center" readingOrder="1"/>
    </xf>
    <xf numFmtId="14" fontId="8" fillId="0" borderId="1" xfId="10" applyNumberFormat="1" applyFont="1" applyBorder="1" applyAlignment="1">
      <alignment horizontal="center" vertical="center" readingOrder="1"/>
    </xf>
    <xf numFmtId="1" fontId="8" fillId="0" borderId="5" xfId="10" applyNumberFormat="1" applyFont="1" applyBorder="1" applyAlignment="1">
      <alignment horizontal="center" vertical="center" readingOrder="1"/>
    </xf>
    <xf numFmtId="0" fontId="2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1" fontId="6" fillId="2" borderId="1" xfId="10" applyNumberFormat="1" applyFont="1" applyFill="1" applyBorder="1" applyAlignment="1">
      <alignment horizontal="center" vertical="center" readingOrder="1"/>
    </xf>
    <xf numFmtId="1" fontId="0" fillId="0" borderId="0" xfId="0" applyNumberFormat="1"/>
    <xf numFmtId="14" fontId="0" fillId="0" borderId="1" xfId="0" applyNumberFormat="1" applyBorder="1"/>
    <xf numFmtId="49" fontId="0" fillId="0" borderId="1" xfId="0" applyNumberFormat="1" applyBorder="1"/>
    <xf numFmtId="10" fontId="6" fillId="2" borderId="1" xfId="1" applyNumberFormat="1" applyFont="1" applyFill="1" applyBorder="1" applyAlignment="1">
      <alignment horizontal="center" vertical="center" readingOrder="1"/>
    </xf>
    <xf numFmtId="0" fontId="6" fillId="0" borderId="1" xfId="10" applyFont="1" applyBorder="1" applyAlignment="1">
      <alignment vertical="center" readingOrder="1"/>
    </xf>
    <xf numFmtId="0" fontId="6" fillId="0" borderId="1" xfId="10" applyFont="1" applyBorder="1" applyAlignment="1">
      <alignment horizontal="left" vertical="center"/>
    </xf>
    <xf numFmtId="49" fontId="6" fillId="0" borderId="1" xfId="10" applyNumberFormat="1" applyFont="1" applyBorder="1" applyAlignment="1">
      <alignment vertical="center"/>
    </xf>
    <xf numFmtId="1" fontId="6" fillId="0" borderId="1" xfId="10" applyNumberFormat="1" applyFont="1" applyBorder="1" applyAlignment="1">
      <alignment horizontal="left" vertical="center" wrapText="1" readingOrder="1"/>
    </xf>
    <xf numFmtId="1" fontId="6" fillId="0" borderId="1" xfId="10" applyNumberFormat="1" applyFont="1" applyBorder="1" applyAlignment="1">
      <alignment horizontal="left" vertical="center" readingOrder="1"/>
    </xf>
    <xf numFmtId="0" fontId="8" fillId="3" borderId="1" xfId="10" applyFont="1" applyFill="1" applyBorder="1" applyAlignment="1">
      <alignment horizontal="center" vertical="center" readingOrder="1"/>
    </xf>
    <xf numFmtId="0" fontId="1" fillId="0" borderId="0" xfId="0" applyFont="1"/>
    <xf numFmtId="49" fontId="2" fillId="2" borderId="0" xfId="0" applyNumberFormat="1" applyFont="1" applyFill="1" applyAlignment="1">
      <alignment horizontal="center" vertical="center"/>
    </xf>
    <xf numFmtId="2" fontId="0" fillId="0" borderId="0" xfId="0" applyNumberFormat="1"/>
    <xf numFmtId="2" fontId="6" fillId="0" borderId="1" xfId="10" applyNumberFormat="1" applyFont="1" applyBorder="1" applyAlignment="1">
      <alignment horizontal="center" vertical="center" readingOrder="1"/>
    </xf>
    <xf numFmtId="0" fontId="0" fillId="0" borderId="0" xfId="0" applyAlignment="1">
      <alignment horizontal="center"/>
    </xf>
    <xf numFmtId="4" fontId="6" fillId="0" borderId="1" xfId="10" applyNumberFormat="1" applyFont="1" applyBorder="1" applyAlignment="1">
      <alignment vertical="center" readingOrder="1"/>
    </xf>
    <xf numFmtId="1" fontId="3" fillId="3" borderId="1" xfId="2" applyNumberFormat="1" applyFont="1" applyFill="1" applyBorder="1" applyAlignment="1">
      <alignment horizontal="center" vertical="center" wrapText="1"/>
    </xf>
    <xf numFmtId="1" fontId="6" fillId="2" borderId="1" xfId="10" applyNumberFormat="1" applyFont="1" applyFill="1" applyBorder="1" applyAlignment="1">
      <alignment horizontal="center" vertical="center" wrapText="1" readingOrder="1"/>
    </xf>
    <xf numFmtId="0" fontId="6" fillId="0" borderId="9" xfId="10" applyFont="1" applyBorder="1" applyAlignment="1">
      <alignment horizontal="left" vertical="center"/>
    </xf>
    <xf numFmtId="0" fontId="6" fillId="0" borderId="10" xfId="10" applyFont="1" applyBorder="1" applyAlignment="1">
      <alignment horizontal="left" vertical="center"/>
    </xf>
    <xf numFmtId="0" fontId="6" fillId="0" borderId="10" xfId="10" applyFont="1" applyBorder="1" applyAlignment="1">
      <alignment horizontal="left" vertical="center" wrapText="1" readingOrder="1"/>
    </xf>
    <xf numFmtId="4" fontId="6" fillId="0" borderId="10" xfId="10" applyNumberFormat="1" applyFont="1" applyBorder="1" applyAlignment="1">
      <alignment vertical="center" readingOrder="1"/>
    </xf>
    <xf numFmtId="0" fontId="6" fillId="0" borderId="10" xfId="10" applyFont="1" applyBorder="1" applyAlignment="1">
      <alignment horizontal="center" vertical="center" readingOrder="1"/>
    </xf>
    <xf numFmtId="0" fontId="6" fillId="0" borderId="12" xfId="10" applyFont="1" applyBorder="1" applyAlignment="1">
      <alignment horizontal="left" vertical="center" wrapText="1" readingOrder="1"/>
    </xf>
    <xf numFmtId="4" fontId="6" fillId="0" borderId="12" xfId="10" applyNumberFormat="1" applyFont="1" applyBorder="1" applyAlignment="1">
      <alignment vertical="center" readingOrder="1"/>
    </xf>
    <xf numFmtId="0" fontId="6" fillId="0" borderId="12" xfId="10" applyFont="1" applyBorder="1" applyAlignment="1">
      <alignment horizontal="center" vertical="center" readingOrder="1"/>
    </xf>
    <xf numFmtId="0" fontId="6" fillId="0" borderId="10" xfId="10" applyFont="1" applyBorder="1" applyAlignment="1">
      <alignment vertical="center" readingOrder="1"/>
    </xf>
    <xf numFmtId="0" fontId="6" fillId="0" borderId="14" xfId="10" applyFont="1" applyBorder="1" applyAlignment="1">
      <alignment horizontal="left" vertical="center" wrapText="1" readingOrder="1"/>
    </xf>
    <xf numFmtId="0" fontId="6" fillId="0" borderId="15" xfId="10" applyFont="1" applyBorder="1" applyAlignment="1">
      <alignment horizontal="left" vertical="center" wrapText="1" readingOrder="1"/>
    </xf>
    <xf numFmtId="0" fontId="3" fillId="11" borderId="1" xfId="2" applyFont="1" applyFill="1" applyBorder="1" applyAlignment="1">
      <alignment horizontal="left" vertical="center"/>
    </xf>
    <xf numFmtId="0" fontId="3" fillId="3" borderId="1" xfId="2" applyFont="1" applyFill="1" applyBorder="1" applyAlignment="1">
      <alignment vertical="center"/>
    </xf>
    <xf numFmtId="4" fontId="6" fillId="0" borderId="1" xfId="10" applyNumberFormat="1" applyFont="1" applyBorder="1" applyAlignment="1">
      <alignment horizontal="left" vertical="center" readingOrder="1"/>
    </xf>
    <xf numFmtId="0" fontId="3" fillId="11" borderId="1" xfId="2" applyFont="1" applyFill="1" applyBorder="1">
      <alignment horizontal="center" vertical="center"/>
    </xf>
    <xf numFmtId="10" fontId="6" fillId="0" borderId="1" xfId="10" applyNumberFormat="1" applyFont="1" applyBorder="1" applyAlignment="1">
      <alignment horizontal="right" vertical="center" readingOrder="1"/>
    </xf>
    <xf numFmtId="168" fontId="3" fillId="3" borderId="1" xfId="2" applyNumberFormat="1" applyFont="1" applyFill="1" applyBorder="1" applyAlignment="1">
      <alignment horizontal="left" vertical="center"/>
    </xf>
    <xf numFmtId="168" fontId="6" fillId="2" borderId="1" xfId="10" applyNumberFormat="1" applyFont="1" applyFill="1" applyBorder="1" applyAlignment="1">
      <alignment horizontal="center" vertical="center" readingOrder="1"/>
    </xf>
    <xf numFmtId="168" fontId="0" fillId="0" borderId="0" xfId="0" applyNumberFormat="1"/>
    <xf numFmtId="0" fontId="0" fillId="0" borderId="1" xfId="0" applyBorder="1"/>
    <xf numFmtId="0" fontId="3" fillId="3" borderId="1" xfId="2" applyFont="1" applyFill="1" applyBorder="1" applyAlignment="1">
      <alignment horizontal="left" vertical="center" wrapText="1"/>
    </xf>
    <xf numFmtId="0" fontId="6" fillId="0" borderId="1" xfId="10" applyFont="1" applyBorder="1" applyAlignment="1">
      <alignment horizontal="right" vertical="center"/>
    </xf>
    <xf numFmtId="0" fontId="2" fillId="12" borderId="0" xfId="0" applyFont="1" applyFill="1" applyAlignment="1">
      <alignment vertical="center"/>
    </xf>
    <xf numFmtId="0" fontId="6" fillId="8" borderId="1" xfId="10" applyFont="1" applyFill="1" applyBorder="1" applyAlignment="1">
      <alignment horizontal="center" vertical="center" readingOrder="1"/>
    </xf>
    <xf numFmtId="0" fontId="6" fillId="9" borderId="1" xfId="10" applyFont="1" applyFill="1" applyBorder="1" applyAlignment="1">
      <alignment horizontal="center" vertical="center" readingOrder="1"/>
    </xf>
    <xf numFmtId="0" fontId="6" fillId="6" borderId="1" xfId="10" applyFont="1" applyFill="1" applyBorder="1" applyAlignment="1">
      <alignment horizontal="center" vertical="center" readingOrder="1"/>
    </xf>
    <xf numFmtId="0" fontId="6" fillId="12" borderId="1" xfId="10" applyFont="1" applyFill="1" applyBorder="1" applyAlignment="1">
      <alignment horizontal="center" vertical="center" readingOrder="1"/>
    </xf>
    <xf numFmtId="165" fontId="2" fillId="0" borderId="1" xfId="1" applyNumberFormat="1" applyFont="1" applyFill="1" applyBorder="1" applyAlignment="1">
      <alignment horizontal="center" vertical="center" readingOrder="1"/>
    </xf>
    <xf numFmtId="0" fontId="6" fillId="0" borderId="9" xfId="10" applyFont="1" applyBorder="1" applyAlignment="1">
      <alignment horizontal="center" vertical="center" readingOrder="1"/>
    </xf>
    <xf numFmtId="4" fontId="6" fillId="0" borderId="9" xfId="10" applyNumberFormat="1" applyFont="1" applyBorder="1" applyAlignment="1">
      <alignment vertical="center" readingOrder="1"/>
    </xf>
    <xf numFmtId="0" fontId="6" fillId="0" borderId="9" xfId="10" applyFont="1" applyBorder="1" applyAlignment="1">
      <alignment vertical="center" readingOrder="1"/>
    </xf>
    <xf numFmtId="0" fontId="6" fillId="2" borderId="1" xfId="10" applyFont="1" applyFill="1" applyBorder="1" applyAlignment="1">
      <alignment horizontal="right" vertical="center"/>
    </xf>
    <xf numFmtId="49" fontId="6" fillId="2" borderId="1" xfId="1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10" fontId="0" fillId="0" borderId="0" xfId="1" applyNumberFormat="1" applyFont="1"/>
    <xf numFmtId="10" fontId="3" fillId="3" borderId="1" xfId="1" applyNumberFormat="1" applyFont="1" applyFill="1" applyBorder="1" applyAlignment="1">
      <alignment horizontal="left" vertical="center"/>
    </xf>
    <xf numFmtId="3" fontId="0" fillId="0" borderId="1" xfId="0" applyNumberFormat="1" applyBorder="1"/>
    <xf numFmtId="10" fontId="0" fillId="0" borderId="1" xfId="1" applyNumberFormat="1" applyFont="1" applyFill="1" applyBorder="1"/>
    <xf numFmtId="0" fontId="0" fillId="0" borderId="1" xfId="0" applyBorder="1" applyAlignment="1">
      <alignment horizontal="center"/>
    </xf>
    <xf numFmtId="0" fontId="3" fillId="3" borderId="5" xfId="2" applyFont="1" applyFill="1" applyBorder="1">
      <alignment horizontal="center" vertical="center"/>
    </xf>
    <xf numFmtId="0" fontId="3" fillId="3" borderId="7" xfId="2" applyFont="1" applyFill="1" applyBorder="1">
      <alignment horizontal="center" vertical="center"/>
    </xf>
    <xf numFmtId="167" fontId="3" fillId="3" borderId="1" xfId="1" applyNumberFormat="1" applyFont="1" applyFill="1" applyBorder="1" applyAlignment="1">
      <alignment horizontal="right" vertical="center" wrapText="1"/>
    </xf>
    <xf numFmtId="167" fontId="6" fillId="0" borderId="1" xfId="1" applyNumberFormat="1" applyFont="1" applyFill="1" applyBorder="1" applyAlignment="1">
      <alignment horizontal="right" vertical="center" wrapText="1"/>
    </xf>
    <xf numFmtId="167" fontId="2" fillId="2" borderId="0" xfId="1" applyNumberFormat="1" applyFont="1" applyFill="1" applyBorder="1" applyAlignment="1">
      <alignment horizontal="right" vertical="center" wrapText="1"/>
    </xf>
    <xf numFmtId="0" fontId="0" fillId="13" borderId="1" xfId="0" applyFill="1" applyBorder="1" applyAlignment="1">
      <alignment horizontal="center"/>
    </xf>
    <xf numFmtId="3" fontId="0" fillId="13" borderId="1" xfId="0" applyNumberFormat="1" applyFill="1" applyBorder="1"/>
    <xf numFmtId="10" fontId="0" fillId="13" borderId="1" xfId="1" applyNumberFormat="1" applyFont="1" applyFill="1" applyBorder="1"/>
    <xf numFmtId="0" fontId="0" fillId="3" borderId="1" xfId="0" applyFill="1" applyBorder="1"/>
    <xf numFmtId="0" fontId="0" fillId="14" borderId="1" xfId="0" applyFill="1" applyBorder="1"/>
    <xf numFmtId="10" fontId="0" fillId="14" borderId="1" xfId="0" applyNumberFormat="1" applyFill="1" applyBorder="1"/>
    <xf numFmtId="4" fontId="6" fillId="0" borderId="1" xfId="10" applyNumberFormat="1" applyFont="1" applyBorder="1" applyAlignment="1">
      <alignment horizontal="right" vertical="center" readingOrder="1"/>
    </xf>
    <xf numFmtId="0" fontId="6" fillId="15" borderId="1" xfId="10" applyFont="1" applyFill="1" applyBorder="1" applyAlignment="1">
      <alignment horizontal="right" vertical="center" readingOrder="1"/>
    </xf>
    <xf numFmtId="10" fontId="6" fillId="15" borderId="1" xfId="10" applyNumberFormat="1" applyFont="1" applyFill="1" applyBorder="1" applyAlignment="1">
      <alignment horizontal="right" vertical="center" readingOrder="1"/>
    </xf>
    <xf numFmtId="4" fontId="6" fillId="15" borderId="1" xfId="10" applyNumberFormat="1" applyFont="1" applyFill="1" applyBorder="1" applyAlignment="1">
      <alignment horizontal="right" vertical="center" readingOrder="1"/>
    </xf>
    <xf numFmtId="0" fontId="6" fillId="3" borderId="1" xfId="10" applyFont="1" applyFill="1" applyBorder="1" applyAlignment="1">
      <alignment horizontal="right" vertical="center" readingOrder="1"/>
    </xf>
    <xf numFmtId="10" fontId="6" fillId="3" borderId="1" xfId="10" applyNumberFormat="1" applyFont="1" applyFill="1" applyBorder="1" applyAlignment="1">
      <alignment horizontal="right" vertical="center" readingOrder="1"/>
    </xf>
    <xf numFmtId="4" fontId="6" fillId="3" borderId="1" xfId="10" applyNumberFormat="1" applyFont="1" applyFill="1" applyBorder="1" applyAlignment="1">
      <alignment horizontal="right" vertical="center" readingOrder="1"/>
    </xf>
    <xf numFmtId="0" fontId="6" fillId="16" borderId="1" xfId="10" applyFont="1" applyFill="1" applyBorder="1" applyAlignment="1">
      <alignment horizontal="right" vertical="center" readingOrder="1"/>
    </xf>
    <xf numFmtId="10" fontId="6" fillId="16" borderId="1" xfId="10" applyNumberFormat="1" applyFont="1" applyFill="1" applyBorder="1" applyAlignment="1">
      <alignment horizontal="right" vertical="center" readingOrder="1"/>
    </xf>
    <xf numFmtId="4" fontId="6" fillId="16" borderId="1" xfId="10" applyNumberFormat="1" applyFont="1" applyFill="1" applyBorder="1" applyAlignment="1">
      <alignment horizontal="right" vertical="center" readingOrder="1"/>
    </xf>
    <xf numFmtId="0" fontId="6" fillId="2" borderId="1" xfId="10" applyFont="1" applyFill="1" applyBorder="1" applyAlignment="1">
      <alignment horizontal="right" vertical="center" readingOrder="1"/>
    </xf>
    <xf numFmtId="10" fontId="6" fillId="2" borderId="1" xfId="10" applyNumberFormat="1" applyFont="1" applyFill="1" applyBorder="1" applyAlignment="1">
      <alignment horizontal="right" vertical="center" readingOrder="1"/>
    </xf>
    <xf numFmtId="4" fontId="6" fillId="2" borderId="1" xfId="10" applyNumberFormat="1" applyFont="1" applyFill="1" applyBorder="1" applyAlignment="1">
      <alignment horizontal="right" vertical="center" readingOrder="1"/>
    </xf>
    <xf numFmtId="0" fontId="2" fillId="2" borderId="1" xfId="10" applyFont="1" applyFill="1" applyBorder="1" applyAlignment="1">
      <alignment horizontal="right" vertical="center" readingOrder="1"/>
    </xf>
    <xf numFmtId="10" fontId="2" fillId="2" borderId="1" xfId="10" applyNumberFormat="1" applyFont="1" applyFill="1" applyBorder="1" applyAlignment="1">
      <alignment horizontal="right" vertical="center" readingOrder="1"/>
    </xf>
    <xf numFmtId="4" fontId="2" fillId="2" borderId="1" xfId="10" applyNumberFormat="1" applyFont="1" applyFill="1" applyBorder="1" applyAlignment="1">
      <alignment horizontal="right" vertical="center" readingOrder="1"/>
    </xf>
    <xf numFmtId="0" fontId="3" fillId="10" borderId="1" xfId="2" applyFont="1" applyFill="1" applyBorder="1" applyAlignment="1">
      <alignment horizontal="left" vertical="center"/>
    </xf>
    <xf numFmtId="167" fontId="6" fillId="0" borderId="1" xfId="1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67" fontId="3" fillId="3" borderId="1" xfId="1" applyNumberFormat="1" applyFont="1" applyFill="1" applyBorder="1" applyAlignment="1">
      <alignment vertical="center" wrapText="1"/>
    </xf>
    <xf numFmtId="167" fontId="6" fillId="0" borderId="1" xfId="1" applyNumberFormat="1" applyFont="1" applyFill="1" applyBorder="1" applyAlignment="1">
      <alignment vertical="center" wrapText="1"/>
    </xf>
    <xf numFmtId="167" fontId="2" fillId="2" borderId="0" xfId="1" applyNumberFormat="1" applyFont="1" applyFill="1" applyBorder="1" applyAlignment="1">
      <alignment vertical="center" wrapText="1"/>
    </xf>
    <xf numFmtId="0" fontId="3" fillId="3" borderId="5" xfId="2" applyFont="1" applyFill="1" applyBorder="1">
      <alignment horizontal="center" vertical="center"/>
    </xf>
    <xf numFmtId="0" fontId="3" fillId="3" borderId="6" xfId="2" applyFont="1" applyFill="1" applyBorder="1">
      <alignment horizontal="center" vertical="center"/>
    </xf>
    <xf numFmtId="0" fontId="3" fillId="3" borderId="7" xfId="2" applyFont="1" applyFill="1" applyBorder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6" fillId="0" borderId="8" xfId="10" applyFont="1" applyBorder="1" applyAlignment="1">
      <alignment horizontal="center" vertical="center" readingOrder="1"/>
    </xf>
    <xf numFmtId="0" fontId="6" fillId="0" borderId="11" xfId="10" applyFont="1" applyBorder="1" applyAlignment="1">
      <alignment horizontal="center" vertical="center" readingOrder="1"/>
    </xf>
    <xf numFmtId="1" fontId="6" fillId="0" borderId="8" xfId="10" applyNumberFormat="1" applyFont="1" applyBorder="1" applyAlignment="1">
      <alignment horizontal="center" vertical="center" readingOrder="1"/>
    </xf>
    <xf numFmtId="1" fontId="6" fillId="0" borderId="11" xfId="10" applyNumberFormat="1" applyFont="1" applyBorder="1" applyAlignment="1">
      <alignment horizontal="center" vertical="center" readingOrder="1"/>
    </xf>
    <xf numFmtId="4" fontId="6" fillId="0" borderId="8" xfId="10" applyNumberFormat="1" applyFont="1" applyBorder="1" applyAlignment="1">
      <alignment horizontal="center" vertical="center" readingOrder="1"/>
    </xf>
    <xf numFmtId="4" fontId="6" fillId="0" borderId="11" xfId="10" applyNumberFormat="1" applyFont="1" applyBorder="1" applyAlignment="1">
      <alignment horizontal="center" vertical="center" readingOrder="1"/>
    </xf>
    <xf numFmtId="0" fontId="6" fillId="0" borderId="13" xfId="10" applyFont="1" applyBorder="1" applyAlignment="1">
      <alignment horizontal="center" vertical="center" readingOrder="1"/>
    </xf>
    <xf numFmtId="1" fontId="6" fillId="0" borderId="13" xfId="10" applyNumberFormat="1" applyFont="1" applyBorder="1" applyAlignment="1">
      <alignment horizontal="center" vertical="center" readingOrder="1"/>
    </xf>
    <xf numFmtId="4" fontId="6" fillId="0" borderId="13" xfId="10" applyNumberFormat="1" applyFont="1" applyBorder="1" applyAlignment="1">
      <alignment horizontal="center" vertical="center" readingOrder="1"/>
    </xf>
    <xf numFmtId="0" fontId="6" fillId="0" borderId="9" xfId="10" applyFont="1" applyBorder="1" applyAlignment="1">
      <alignment horizontal="center" vertical="center" readingOrder="1"/>
    </xf>
    <xf numFmtId="0" fontId="11" fillId="3" borderId="5" xfId="2" applyFont="1" applyFill="1" applyBorder="1">
      <alignment horizontal="center" vertical="center"/>
    </xf>
    <xf numFmtId="0" fontId="11" fillId="3" borderId="6" xfId="2" applyFont="1" applyFill="1" applyBorder="1">
      <alignment horizontal="center" vertical="center"/>
    </xf>
    <xf numFmtId="0" fontId="11" fillId="3" borderId="7" xfId="2" applyFont="1" applyFill="1" applyBorder="1">
      <alignment horizontal="center" vertical="center"/>
    </xf>
    <xf numFmtId="0" fontId="3" fillId="2" borderId="1" xfId="2" applyFont="1" applyFill="1" applyBorder="1" applyAlignment="1">
      <alignment horizontal="left" vertical="center"/>
    </xf>
    <xf numFmtId="0" fontId="3" fillId="2" borderId="1" xfId="2" applyFont="1" applyFill="1" applyBorder="1">
      <alignment horizontal="center" vertical="center"/>
    </xf>
    <xf numFmtId="0" fontId="8" fillId="2" borderId="1" xfId="10" applyFont="1" applyFill="1" applyBorder="1" applyAlignment="1">
      <alignment horizontal="center" vertical="center" readingOrder="1"/>
    </xf>
    <xf numFmtId="2" fontId="3" fillId="2" borderId="1" xfId="2" applyNumberFormat="1" applyFont="1" applyFill="1" applyBorder="1">
      <alignment horizontal="center" vertical="center"/>
    </xf>
    <xf numFmtId="171" fontId="3" fillId="2" borderId="1" xfId="2" applyNumberFormat="1" applyFont="1" applyFill="1" applyBorder="1">
      <alignment horizontal="center" vertical="center"/>
    </xf>
  </cellXfs>
  <cellStyles count="16">
    <cellStyle name="cellStyle" xfId="7" xr:uid="{00000000-0005-0000-0000-000000000000}"/>
    <cellStyle name="cellStyleDate" xfId="9" xr:uid="{00000000-0005-0000-0000-000001000000}"/>
    <cellStyle name="cellStyleNum" xfId="8" xr:uid="{00000000-0005-0000-0000-000002000000}"/>
    <cellStyle name="cellStyleOdd" xfId="4" xr:uid="{00000000-0005-0000-0000-000003000000}"/>
    <cellStyle name="cellStyleOddDate" xfId="6" xr:uid="{00000000-0005-0000-0000-000004000000}"/>
    <cellStyle name="cellStyleOddNum" xfId="5" xr:uid="{00000000-0005-0000-0000-000005000000}"/>
    <cellStyle name="hdrStyle" xfId="2" xr:uid="{00000000-0005-0000-0000-000006000000}"/>
    <cellStyle name="Normal" xfId="0" builtinId="0"/>
    <cellStyle name="Normal 2" xfId="3" xr:uid="{00000000-0005-0000-0000-000008000000}"/>
    <cellStyle name="Normal 3" xfId="10" xr:uid="{00000000-0005-0000-0000-000009000000}"/>
    <cellStyle name="ParaBirimi" xfId="1" builtinId="4"/>
    <cellStyle name="ParaBirimi [0]" xfId="1" builtinId="7"/>
    <cellStyle name="Virgül" xfId="1" builtinId="3"/>
    <cellStyle name="Virgül 2" xfId="12" xr:uid="{00000000-0005-0000-0000-00000D000000}"/>
    <cellStyle name="Yüzde" xfId="1" builtinId="5"/>
    <cellStyle name="Yüzde 2" xfId="11" xr:uid="{00000000-0005-0000-0000-00000F000000}"/>
  </cellStyles>
  <dxfs count="122"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0070C0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0070C0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9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ACA899"/>
      <rgbColor rgb="00ECE9D8"/>
      <rgbColor rgb="00D4D0C8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549519</xdr:colOff>
      <xdr:row>12</xdr:row>
      <xdr:rowOff>29307</xdr:rowOff>
    </xdr:from>
    <xdr:to>
      <xdr:col>9</xdr:col>
      <xdr:colOff>615461</xdr:colOff>
      <xdr:row>12</xdr:row>
      <xdr:rowOff>124557</xdr:rowOff>
    </xdr:to>
    <xdr:sp macro="" textlink="">
      <xdr:nvSpPr>
        <xdr:cNvPr id="2" name="Ok: Aşağı 1">
          <a:extLst>
            <a:ext uri="{FF2B5EF4-FFF2-40B4-BE49-F238E27FC236}">
              <a16:creationId xmlns:a16="http://schemas.microsoft.com/office/drawing/2014/main" id="{5669285D-E05E-EF2A-CCB0-221400C9EF60}"/>
            </a:ext>
          </a:extLst>
        </xdr:cNvPr>
        <xdr:cNvSpPr/>
      </xdr:nvSpPr>
      <xdr:spPr>
        <a:xfrm>
          <a:off x="6403731" y="1963615"/>
          <a:ext cx="65942" cy="95250"/>
        </a:xfrm>
        <a:prstGeom prst="downArrow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9</xdr:col>
      <xdr:colOff>549518</xdr:colOff>
      <xdr:row>13</xdr:row>
      <xdr:rowOff>29307</xdr:rowOff>
    </xdr:from>
    <xdr:to>
      <xdr:col>9</xdr:col>
      <xdr:colOff>659422</xdr:colOff>
      <xdr:row>13</xdr:row>
      <xdr:rowOff>161191</xdr:rowOff>
    </xdr:to>
    <xdr:sp macro="" textlink="">
      <xdr:nvSpPr>
        <xdr:cNvPr id="3" name="Ok: Aşağı 2">
          <a:extLst>
            <a:ext uri="{FF2B5EF4-FFF2-40B4-BE49-F238E27FC236}">
              <a16:creationId xmlns:a16="http://schemas.microsoft.com/office/drawing/2014/main" id="{B9195AAA-F6B6-2988-DA56-59797B690DAE}"/>
            </a:ext>
          </a:extLst>
        </xdr:cNvPr>
        <xdr:cNvSpPr/>
      </xdr:nvSpPr>
      <xdr:spPr>
        <a:xfrm rot="10800000">
          <a:off x="6403730" y="2124807"/>
          <a:ext cx="109904" cy="131884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9</xdr:col>
      <xdr:colOff>556846</xdr:colOff>
      <xdr:row>11</xdr:row>
      <xdr:rowOff>43962</xdr:rowOff>
    </xdr:from>
    <xdr:to>
      <xdr:col>9</xdr:col>
      <xdr:colOff>615461</xdr:colOff>
      <xdr:row>11</xdr:row>
      <xdr:rowOff>146539</xdr:rowOff>
    </xdr:to>
    <xdr:sp macro="" textlink="">
      <xdr:nvSpPr>
        <xdr:cNvPr id="4" name="Ok: Aşağı 3">
          <a:extLst>
            <a:ext uri="{FF2B5EF4-FFF2-40B4-BE49-F238E27FC236}">
              <a16:creationId xmlns:a16="http://schemas.microsoft.com/office/drawing/2014/main" id="{764CEB6F-6A19-4F34-83C9-0E3C82703207}"/>
            </a:ext>
          </a:extLst>
        </xdr:cNvPr>
        <xdr:cNvSpPr/>
      </xdr:nvSpPr>
      <xdr:spPr>
        <a:xfrm rot="10800000">
          <a:off x="6411058" y="1817077"/>
          <a:ext cx="58615" cy="102577"/>
        </a:xfrm>
        <a:prstGeom prst="down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104775</xdr:colOff>
      <xdr:row>1</xdr:row>
      <xdr:rowOff>114300</xdr:rowOff>
    </xdr:from>
    <xdr:to>
      <xdr:col>9</xdr:col>
      <xdr:colOff>657225</xdr:colOff>
      <xdr:row>2</xdr:row>
      <xdr:rowOff>0</xdr:rowOff>
    </xdr:to>
    <xdr:sp macro="" textlink="">
      <xdr:nvSpPr>
        <xdr:cNvPr id="2" name="Sağ Ok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4886325" y="438150"/>
          <a:ext cx="552450" cy="47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9</xdr:col>
      <xdr:colOff>104775</xdr:colOff>
      <xdr:row>3</xdr:row>
      <xdr:rowOff>114300</xdr:rowOff>
    </xdr:from>
    <xdr:to>
      <xdr:col>9</xdr:col>
      <xdr:colOff>657225</xdr:colOff>
      <xdr:row>4</xdr:row>
      <xdr:rowOff>0</xdr:rowOff>
    </xdr:to>
    <xdr:sp macro="" textlink="">
      <xdr:nvSpPr>
        <xdr:cNvPr id="3" name="Sağ Ok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953250" y="438150"/>
          <a:ext cx="552450" cy="47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9</xdr:col>
      <xdr:colOff>104775</xdr:colOff>
      <xdr:row>5</xdr:row>
      <xdr:rowOff>114300</xdr:rowOff>
    </xdr:from>
    <xdr:to>
      <xdr:col>9</xdr:col>
      <xdr:colOff>657225</xdr:colOff>
      <xdr:row>6</xdr:row>
      <xdr:rowOff>0</xdr:rowOff>
    </xdr:to>
    <xdr:sp macro="" textlink="">
      <xdr:nvSpPr>
        <xdr:cNvPr id="5" name="Sağ Ok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8248650" y="771525"/>
          <a:ext cx="552450" cy="47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9</xdr:col>
      <xdr:colOff>104775</xdr:colOff>
      <xdr:row>7</xdr:row>
      <xdr:rowOff>114300</xdr:rowOff>
    </xdr:from>
    <xdr:to>
      <xdr:col>9</xdr:col>
      <xdr:colOff>657225</xdr:colOff>
      <xdr:row>8</xdr:row>
      <xdr:rowOff>0</xdr:rowOff>
    </xdr:to>
    <xdr:sp macro="" textlink="">
      <xdr:nvSpPr>
        <xdr:cNvPr id="6" name="Sağ Ok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8305800" y="1104900"/>
          <a:ext cx="552450" cy="476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Kaju%20Dosyalar\HD-57212" TargetMode="External"/><Relationship Id="rId7" Type="http://schemas.openxmlformats.org/officeDocument/2006/relationships/comments" Target="../comments1.xml"/><Relationship Id="rId2" Type="http://schemas.openxmlformats.org/officeDocument/2006/relationships/hyperlink" Target="Kaju%20Dosyalar\HD-57112\NGAN%20NGOC%20-%20AYDIN%20HD57112.pdf" TargetMode="External"/><Relationship Id="rId1" Type="http://schemas.openxmlformats.org/officeDocument/2006/relationships/hyperlink" Target="Kaju%20Dosyalar\HD-56712\CAO%20PHAT%20-%20AYDIN%20HD56712.pdf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Kaju%20Dosyalar\HD-5731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B1:AD19"/>
  <sheetViews>
    <sheetView topLeftCell="B1" zoomScale="130" zoomScaleNormal="130" workbookViewId="0">
      <selection activeCell="L8" sqref="L8"/>
    </sheetView>
  </sheetViews>
  <sheetFormatPr defaultRowHeight="12.75" x14ac:dyDescent="0.2"/>
  <cols>
    <col min="1" max="1" width="9.5703125" customWidth="1"/>
    <col min="2" max="2" width="13.42578125" bestFit="1" customWidth="1"/>
    <col min="3" max="3" width="9.5703125" customWidth="1"/>
    <col min="4" max="4" width="10.28515625" bestFit="1" customWidth="1"/>
    <col min="5" max="5" width="9.42578125" bestFit="1" customWidth="1"/>
    <col min="9" max="9" width="8.140625" bestFit="1" customWidth="1"/>
    <col min="10" max="10" width="10.42578125" bestFit="1" customWidth="1"/>
    <col min="13" max="13" width="10.42578125" bestFit="1" customWidth="1"/>
    <col min="14" max="15" width="9.42578125" bestFit="1" customWidth="1"/>
    <col min="27" max="27" width="11.7109375" bestFit="1" customWidth="1"/>
  </cols>
  <sheetData>
    <row r="1" spans="2:30" x14ac:dyDescent="0.2">
      <c r="AA1" s="68" t="s">
        <v>299</v>
      </c>
    </row>
    <row r="2" spans="2:30" x14ac:dyDescent="0.2">
      <c r="B2" s="15"/>
      <c r="C2" s="18" t="s">
        <v>99</v>
      </c>
      <c r="D2" s="18" t="s">
        <v>96</v>
      </c>
      <c r="E2" s="18" t="s">
        <v>345</v>
      </c>
      <c r="F2" s="18" t="s">
        <v>97</v>
      </c>
      <c r="AA2" s="68" t="s">
        <v>300</v>
      </c>
    </row>
    <row r="3" spans="2:30" x14ac:dyDescent="0.2">
      <c r="B3" s="15" t="s">
        <v>20</v>
      </c>
      <c r="C3" s="99">
        <f>COUNTIFS('SATIN ALMA'!$F:$F, $B3, 'SATIN ALMA'!$AB:$AB, C$2)</f>
        <v>0</v>
      </c>
      <c r="D3" s="100">
        <f>COUNTIFS('SATIN ALMA'!$F:$F, $B3, 'SATIN ALMA'!$AB:$AB, D$2)</f>
        <v>9</v>
      </c>
      <c r="E3" s="102">
        <f>COUNTIFS('SATIN ALMA'!$F:$F, $B3, 'SATIN ALMA'!$AB:$AB, E$2)</f>
        <v>6</v>
      </c>
      <c r="F3" s="101">
        <f>COUNTIFS('SATIN ALMA'!$F:$F, $B3, 'SATIN ALMA'!$AB:$AB, F$2)</f>
        <v>4</v>
      </c>
      <c r="AA3" s="68" t="s">
        <v>301</v>
      </c>
    </row>
    <row r="4" spans="2:30" x14ac:dyDescent="0.2">
      <c r="B4" s="15" t="s">
        <v>27</v>
      </c>
      <c r="C4" s="99">
        <f>COUNTIFS('SATIN ALMA'!$F:$F, $B4, 'SATIN ALMA'!$AB:$AB, C$2)</f>
        <v>0</v>
      </c>
      <c r="D4" s="100">
        <f>COUNTIFS('SATIN ALMA'!$F:$F, $B4, 'SATIN ALMA'!$AB:$AB, D$2)</f>
        <v>0</v>
      </c>
      <c r="E4" s="102">
        <f>COUNTIFS('SATIN ALMA'!$F:$F, $B4, 'SATIN ALMA'!$AB:$AB, E$2)</f>
        <v>2</v>
      </c>
      <c r="F4" s="101">
        <f>COUNTIFS('SATIN ALMA'!$F:$F, $B4, 'SATIN ALMA'!$AB:$AB, F$2)</f>
        <v>2</v>
      </c>
    </row>
    <row r="5" spans="2:30" x14ac:dyDescent="0.2">
      <c r="B5" s="15" t="s">
        <v>25</v>
      </c>
      <c r="C5" s="99">
        <f>COUNTIFS('SATIN ALMA'!$F:$F, $B5, 'SATIN ALMA'!$AB:$AB, C$2)</f>
        <v>0</v>
      </c>
      <c r="D5" s="100">
        <f>COUNTIFS('SATIN ALMA'!$F:$F, $B5, 'SATIN ALMA'!$AB:$AB, D$2)</f>
        <v>1</v>
      </c>
      <c r="E5" s="102">
        <f>COUNTIFS('SATIN ALMA'!$F:$F, $B5, 'SATIN ALMA'!$AB:$AB, E$2)</f>
        <v>0</v>
      </c>
      <c r="F5" s="101">
        <f>COUNTIFS('SATIN ALMA'!$F:$F, $B5, 'SATIN ALMA'!$AB:$AB, F$2)</f>
        <v>2</v>
      </c>
    </row>
    <row r="6" spans="2:30" x14ac:dyDescent="0.2">
      <c r="B6" s="15" t="s">
        <v>26</v>
      </c>
      <c r="C6" s="99">
        <f>COUNTIFS('SATIN ALMA'!$F:$F, $B6, 'SATIN ALMA'!$AB:$AB, C$2)</f>
        <v>0</v>
      </c>
      <c r="D6" s="100">
        <f>COUNTIFS('SATIN ALMA'!$F:$F, $B6, 'SATIN ALMA'!$AB:$AB, D$2)</f>
        <v>0</v>
      </c>
      <c r="E6" s="102">
        <f>COUNTIFS('SATIN ALMA'!$F:$F, $B6, 'SATIN ALMA'!$AB:$AB, E$2)</f>
        <v>0</v>
      </c>
      <c r="F6" s="101">
        <f>COUNTIFS('SATIN ALMA'!$F:$F, $B6, 'SATIN ALMA'!$AB:$AB, F$2)</f>
        <v>2</v>
      </c>
    </row>
    <row r="7" spans="2:30" x14ac:dyDescent="0.2">
      <c r="B7" s="15" t="s">
        <v>18</v>
      </c>
      <c r="C7" s="99">
        <f>COUNTIFS('SATIN ALMA'!$F:$F, $B7, 'SATIN ALMA'!$AB:$AB, C$2)</f>
        <v>0</v>
      </c>
      <c r="D7" s="100">
        <f>COUNTIFS('SATIN ALMA'!$F:$F, $B7, 'SATIN ALMA'!$AB:$AB, D$2)</f>
        <v>1</v>
      </c>
      <c r="E7" s="102">
        <f>COUNTIFS('SATIN ALMA'!$F:$F, $B7, 'SATIN ALMA'!$AB:$AB, E$2)</f>
        <v>0</v>
      </c>
      <c r="F7" s="101">
        <f>COUNTIFS('SATIN ALMA'!$F:$F, $B7, 'SATIN ALMA'!$AB:$AB, F$2)</f>
        <v>0</v>
      </c>
      <c r="AA7" t="s">
        <v>205</v>
      </c>
    </row>
    <row r="8" spans="2:30" x14ac:dyDescent="0.2">
      <c r="B8" s="15" t="s">
        <v>348</v>
      </c>
      <c r="C8" s="99">
        <f>COUNTIFS('SATIN ALMA'!$F:$F, $B8, 'SATIN ALMA'!$AB:$AB, C$2)</f>
        <v>0</v>
      </c>
      <c r="D8" s="100">
        <f>COUNTIFS('SATIN ALMA'!$F:$F, $B8, 'SATIN ALMA'!$AB:$AB, D$2)</f>
        <v>1</v>
      </c>
      <c r="E8" s="102">
        <f>COUNTIFS('SATIN ALMA'!$F:$F, $B8, 'SATIN ALMA'!$AB:$AB, E$2)</f>
        <v>0</v>
      </c>
      <c r="F8" s="101">
        <f>COUNTIFS('SATIN ALMA'!$F:$F, $B8, 'SATIN ALMA'!$AB:$AB, F$2)</f>
        <v>0</v>
      </c>
      <c r="AA8" t="s">
        <v>209</v>
      </c>
    </row>
    <row r="9" spans="2:30" x14ac:dyDescent="0.2">
      <c r="B9" s="15" t="s">
        <v>290</v>
      </c>
      <c r="C9" s="67">
        <f>SUM(C3:C8)</f>
        <v>0</v>
      </c>
      <c r="D9" s="67">
        <f>SUM(D3:D8)</f>
        <v>12</v>
      </c>
      <c r="E9" s="67">
        <f>SUM(E3:E8)</f>
        <v>8</v>
      </c>
      <c r="F9" s="67">
        <f>SUM(F3:F8)</f>
        <v>10</v>
      </c>
      <c r="AA9" t="s">
        <v>207</v>
      </c>
    </row>
    <row r="11" spans="2:30" x14ac:dyDescent="0.2">
      <c r="B11" s="169"/>
      <c r="C11" s="170" t="s">
        <v>99</v>
      </c>
      <c r="D11" s="170" t="s">
        <v>96</v>
      </c>
      <c r="E11" s="170" t="s">
        <v>345</v>
      </c>
      <c r="F11" s="170" t="s">
        <v>97</v>
      </c>
      <c r="H11" s="170"/>
      <c r="I11" s="170" t="s">
        <v>418</v>
      </c>
      <c r="J11" s="170" t="s">
        <v>419</v>
      </c>
      <c r="L11" s="170"/>
      <c r="M11" s="170" t="s">
        <v>420</v>
      </c>
      <c r="N11" s="170" t="s">
        <v>421</v>
      </c>
      <c r="O11" s="170" t="s">
        <v>422</v>
      </c>
    </row>
    <row r="12" spans="2:30" x14ac:dyDescent="0.2">
      <c r="B12" s="169" t="s">
        <v>4</v>
      </c>
      <c r="C12" s="34">
        <f>COUNTIFS('SATIN ALMA'!$G:$G, $B12, 'SATIN ALMA'!$AB:$AB, C$11)</f>
        <v>0</v>
      </c>
      <c r="D12" s="34">
        <f>COUNTIFS('SATIN ALMA'!$G:$G, $B12, 'SATIN ALMA'!$AB:$AB, D$11)</f>
        <v>6</v>
      </c>
      <c r="E12" s="34">
        <f>COUNTIFS('SATIN ALMA'!$G:$G, $B12, 'SATIN ALMA'!$AB:$AB, E$11)</f>
        <v>8</v>
      </c>
      <c r="F12" s="34">
        <f>COUNTIFS('SATIN ALMA'!$G:$G, $B12, 'SATIN ALMA'!$AB:$AB, F$11)</f>
        <v>9</v>
      </c>
      <c r="H12" s="170" t="s">
        <v>4</v>
      </c>
      <c r="I12" s="172">
        <v>3.14</v>
      </c>
      <c r="J12" s="172">
        <v>3.24</v>
      </c>
      <c r="L12" s="170" t="s">
        <v>4</v>
      </c>
      <c r="M12" s="173">
        <v>24948</v>
      </c>
      <c r="N12" s="173">
        <v>59622</v>
      </c>
      <c r="O12" s="173">
        <v>0</v>
      </c>
    </row>
    <row r="13" spans="2:30" x14ac:dyDescent="0.2">
      <c r="B13" s="169" t="s">
        <v>19</v>
      </c>
      <c r="C13" s="34">
        <f>COUNTIFS('SATIN ALMA'!$G:$G, $B13, 'SATIN ALMA'!$AB:$AB, C$11)</f>
        <v>0</v>
      </c>
      <c r="D13" s="34">
        <f>COUNTIFS('SATIN ALMA'!$G:$G, $B13, 'SATIN ALMA'!$AB:$AB, D$11)</f>
        <v>4</v>
      </c>
      <c r="E13" s="34">
        <f>COUNTIFS('SATIN ALMA'!$G:$G, $B13, 'SATIN ALMA'!$AB:$AB, E$11)</f>
        <v>0</v>
      </c>
      <c r="F13" s="34">
        <f>COUNTIFS('SATIN ALMA'!$G:$G, $B13, 'SATIN ALMA'!$AB:$AB, F$11)</f>
        <v>0</v>
      </c>
      <c r="H13" s="170" t="s">
        <v>19</v>
      </c>
      <c r="I13" s="172">
        <v>3.2</v>
      </c>
      <c r="J13" s="172">
        <v>3.1</v>
      </c>
      <c r="L13" s="170" t="s">
        <v>19</v>
      </c>
      <c r="M13" s="173">
        <v>59486</v>
      </c>
      <c r="N13" s="173">
        <v>25111</v>
      </c>
      <c r="O13" s="173">
        <v>0</v>
      </c>
    </row>
    <row r="14" spans="2:30" x14ac:dyDescent="0.2">
      <c r="B14" s="169" t="s">
        <v>91</v>
      </c>
      <c r="C14" s="34">
        <f>COUNTIFS('SATIN ALMA'!$G:$G, $B14, 'SATIN ALMA'!$AB:$AB, C$11)</f>
        <v>0</v>
      </c>
      <c r="D14" s="34">
        <f>COUNTIFS('SATIN ALMA'!$G:$G, $B14, 'SATIN ALMA'!$AB:$AB, D$11)</f>
        <v>2</v>
      </c>
      <c r="E14" s="34">
        <f>COUNTIFS('SATIN ALMA'!$G:$G, $B14, 'SATIN ALMA'!$AB:$AB, E$11)</f>
        <v>0</v>
      </c>
      <c r="F14" s="34">
        <f>COUNTIFS('SATIN ALMA'!$G:$G, $B14, 'SATIN ALMA'!$AB:$AB, F$11)</f>
        <v>1</v>
      </c>
      <c r="H14" s="170" t="s">
        <v>91</v>
      </c>
      <c r="I14" s="172">
        <v>3.9</v>
      </c>
      <c r="J14" s="172">
        <v>4.5</v>
      </c>
      <c r="L14" s="170" t="s">
        <v>91</v>
      </c>
      <c r="M14" s="173">
        <v>146500</v>
      </c>
      <c r="N14" s="173">
        <v>15984</v>
      </c>
      <c r="O14" s="173">
        <v>0</v>
      </c>
    </row>
    <row r="15" spans="2:30" x14ac:dyDescent="0.2">
      <c r="B15" s="169" t="s">
        <v>290</v>
      </c>
      <c r="C15" s="171">
        <f>SUM(C12:C14)</f>
        <v>0</v>
      </c>
      <c r="D15" s="171">
        <f>SUM(D12:D14)</f>
        <v>12</v>
      </c>
      <c r="E15" s="171">
        <f>SUM(E12:E14)</f>
        <v>8</v>
      </c>
      <c r="F15" s="171">
        <f>SUM(F12:F14)</f>
        <v>10</v>
      </c>
      <c r="H15" s="170" t="s">
        <v>168</v>
      </c>
      <c r="I15" s="170"/>
      <c r="J15" s="170"/>
      <c r="L15" s="170" t="s">
        <v>168</v>
      </c>
      <c r="M15" s="173"/>
      <c r="N15" s="173"/>
      <c r="O15" s="173"/>
    </row>
    <row r="16" spans="2:30" x14ac:dyDescent="0.2">
      <c r="J16" s="68"/>
      <c r="AB16" s="68" t="s">
        <v>4</v>
      </c>
      <c r="AC16" s="68" t="s">
        <v>19</v>
      </c>
      <c r="AD16" s="68" t="s">
        <v>91</v>
      </c>
    </row>
    <row r="17" spans="2:30" x14ac:dyDescent="0.2">
      <c r="B17" s="15" t="s">
        <v>296</v>
      </c>
      <c r="C17" s="148" t="s">
        <v>321</v>
      </c>
      <c r="D17" s="149"/>
      <c r="E17" s="150"/>
      <c r="AA17" s="68" t="s">
        <v>293</v>
      </c>
      <c r="AB17" s="58">
        <f>COUNTIF('SATIN ALMA'!$G:$G,AB16)</f>
        <v>50</v>
      </c>
      <c r="AC17" s="58">
        <f>COUNTIF('SATIN ALMA'!$G:$G,AC16)</f>
        <v>12</v>
      </c>
      <c r="AD17" s="58">
        <f>COUNTIF('SATIN ALMA'!$G:$G,AD16)</f>
        <v>3</v>
      </c>
    </row>
    <row r="18" spans="2:30" x14ac:dyDescent="0.2">
      <c r="B18" s="15"/>
      <c r="C18" s="15" t="s">
        <v>4</v>
      </c>
      <c r="D18" s="15" t="s">
        <v>19</v>
      </c>
      <c r="E18" s="15" t="s">
        <v>91</v>
      </c>
      <c r="AA18" s="68" t="s">
        <v>294</v>
      </c>
      <c r="AB18" s="70">
        <f>SUMIF('SATIN ALMA'!$G:$G,AB16,'SATIN ALMA'!$J:$J)</f>
        <v>161.48999999999998</v>
      </c>
      <c r="AC18" s="70">
        <f>SUMIF('SATIN ALMA'!$G:$G,AC16,'SATIN ALMA'!$J:$J)</f>
        <v>41.019999999999996</v>
      </c>
      <c r="AD18" s="70">
        <f>SUMIF('SATIN ALMA'!$G:$G,AD16,'SATIN ALMA'!$J:$J)</f>
        <v>11.1</v>
      </c>
    </row>
    <row r="19" spans="2:30" x14ac:dyDescent="0.2">
      <c r="B19" s="15" t="s">
        <v>292</v>
      </c>
      <c r="C19" s="71">
        <f>AB19</f>
        <v>3.2297999999999996</v>
      </c>
      <c r="D19" s="71">
        <f>AC19</f>
        <v>3.418333333333333</v>
      </c>
      <c r="E19" s="71">
        <f>AD19</f>
        <v>3.6999999999999997</v>
      </c>
      <c r="AA19" s="68" t="s">
        <v>295</v>
      </c>
      <c r="AB19" s="70">
        <f>AB18/AB17</f>
        <v>3.2297999999999996</v>
      </c>
      <c r="AC19" s="70">
        <f t="shared" ref="AC19:AD19" si="0">AC18/AC17</f>
        <v>3.418333333333333</v>
      </c>
      <c r="AD19" s="70">
        <f t="shared" si="0"/>
        <v>3.6999999999999997</v>
      </c>
    </row>
  </sheetData>
  <mergeCells count="1">
    <mergeCell ref="C17:E17"/>
  </mergeCells>
  <conditionalFormatting sqref="C4:D4 F4">
    <cfRule type="expression" dxfId="121" priority="142" stopIfTrue="1">
      <formula>$AA2="Yolda"</formula>
    </cfRule>
    <cfRule type="expression" dxfId="120" priority="140" stopIfTrue="1">
      <formula>$AA2="İçeri Çekildi"</formula>
    </cfRule>
    <cfRule type="expression" dxfId="119" priority="141" stopIfTrue="1">
      <formula>$AA2="Antrepoda"</formula>
    </cfRule>
    <cfRule type="expression" dxfId="118" priority="143" stopIfTrue="1">
      <formula>$AA2="Yüklenmedi"</formula>
    </cfRule>
  </conditionalFormatting>
  <conditionalFormatting sqref="C5:D5 F5 C7:D8 F7:F8">
    <cfRule type="expression" dxfId="117" priority="64" stopIfTrue="1">
      <formula>$AA4="Yüklenmedi"</formula>
    </cfRule>
    <cfRule type="expression" dxfId="116" priority="61" stopIfTrue="1">
      <formula>$AA4="İçeri Çekildi"</formula>
    </cfRule>
    <cfRule type="expression" dxfId="115" priority="62" stopIfTrue="1">
      <formula>$AA4="Antrepoda"</formula>
    </cfRule>
    <cfRule type="expression" dxfId="114" priority="63" stopIfTrue="1">
      <formula>$AA4="Yolda"</formula>
    </cfRule>
  </conditionalFormatting>
  <conditionalFormatting sqref="C6:D6 F6 C9:F9">
    <cfRule type="expression" dxfId="113" priority="193" stopIfTrue="1">
      <formula>$AA3="Antrepoda"</formula>
    </cfRule>
    <cfRule type="expression" dxfId="112" priority="194" stopIfTrue="1">
      <formula>$AA3="Yolda"</formula>
    </cfRule>
    <cfRule type="expression" dxfId="111" priority="195" stopIfTrue="1">
      <formula>$AA3="Yüklenmedi"</formula>
    </cfRule>
    <cfRule type="expression" dxfId="110" priority="192" stopIfTrue="1">
      <formula>$AA3="İçeri Çekildi"</formula>
    </cfRule>
  </conditionalFormatting>
  <conditionalFormatting sqref="C13:D13 F13">
    <cfRule type="expression" dxfId="109" priority="180" stopIfTrue="1">
      <formula>$AA2="İçeri Çekildi"</formula>
    </cfRule>
    <cfRule type="expression" dxfId="108" priority="181" stopIfTrue="1">
      <formula>$AA2="Antrepoda"</formula>
    </cfRule>
    <cfRule type="expression" dxfId="107" priority="182" stopIfTrue="1">
      <formula>$AA2="Yolda"</formula>
    </cfRule>
    <cfRule type="expression" dxfId="106" priority="183" stopIfTrue="1">
      <formula>$AA2="Yüklenmedi"</formula>
    </cfRule>
  </conditionalFormatting>
  <conditionalFormatting sqref="C14:D14 F14">
    <cfRule type="expression" dxfId="105" priority="53" stopIfTrue="1">
      <formula>$AA4="İçeri Çekildi"</formula>
    </cfRule>
    <cfRule type="expression" dxfId="104" priority="54" stopIfTrue="1">
      <formula>$AA4="Antrepoda"</formula>
    </cfRule>
    <cfRule type="expression" dxfId="103" priority="55" stopIfTrue="1">
      <formula>$AA4="Yolda"</formula>
    </cfRule>
    <cfRule type="expression" dxfId="102" priority="56" stopIfTrue="1">
      <formula>$AA4="Yüklenmedi"</formula>
    </cfRule>
  </conditionalFormatting>
  <conditionalFormatting sqref="C19:E19">
    <cfRule type="expression" dxfId="101" priority="46" stopIfTrue="1">
      <formula>$AA17="Antrepoda"</formula>
    </cfRule>
    <cfRule type="expression" dxfId="100" priority="47" stopIfTrue="1">
      <formula>$AA17="Yolda"</formula>
    </cfRule>
    <cfRule type="expression" dxfId="99" priority="48" stopIfTrue="1">
      <formula>$AA17="Yüklenmedi"</formula>
    </cfRule>
    <cfRule type="expression" dxfId="98" priority="45" stopIfTrue="1">
      <formula>$AA17="İçeri Çekildi"</formula>
    </cfRule>
  </conditionalFormatting>
  <conditionalFormatting sqref="C3:F3 E4:E8">
    <cfRule type="expression" dxfId="97" priority="174" stopIfTrue="1">
      <formula>#REF!="Yolda"</formula>
    </cfRule>
    <cfRule type="expression" dxfId="96" priority="175" stopIfTrue="1">
      <formula>#REF!="Yüklenmedi"</formula>
    </cfRule>
    <cfRule type="expression" dxfId="95" priority="172" stopIfTrue="1">
      <formula>#REF!="İçeri Çekildi"</formula>
    </cfRule>
    <cfRule type="expression" dxfId="94" priority="173" stopIfTrue="1">
      <formula>#REF!="Antrepoda"</formula>
    </cfRule>
  </conditionalFormatting>
  <conditionalFormatting sqref="C12:F12 E13:E14">
    <cfRule type="expression" dxfId="93" priority="184" stopIfTrue="1">
      <formula>#REF!="İçeri Çekildi"</formula>
    </cfRule>
    <cfRule type="expression" dxfId="92" priority="185" stopIfTrue="1">
      <formula>#REF!="Antrepoda"</formula>
    </cfRule>
    <cfRule type="expression" dxfId="91" priority="186" stopIfTrue="1">
      <formula>#REF!="Yolda"</formula>
    </cfRule>
    <cfRule type="expression" dxfId="90" priority="187" stopIfTrue="1">
      <formula>#REF!="Yüklenmedi"</formula>
    </cfRule>
  </conditionalFormatting>
  <conditionalFormatting sqref="C15:F15">
    <cfRule type="expression" dxfId="89" priority="57" stopIfTrue="1">
      <formula>$AA6="İçeri Çekildi"</formula>
    </cfRule>
    <cfRule type="expression" dxfId="88" priority="58" stopIfTrue="1">
      <formula>$AA6="Antrepoda"</formula>
    </cfRule>
    <cfRule type="expression" dxfId="87" priority="59" stopIfTrue="1">
      <formula>$AA6="Yolda"</formula>
    </cfRule>
    <cfRule type="expression" dxfId="86" priority="60" stopIfTrue="1">
      <formula>$AA6="Yüklenmedi"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AD499"/>
  <sheetViews>
    <sheetView tabSelected="1" topLeftCell="F1" zoomScaleNormal="100" workbookViewId="0">
      <pane ySplit="1" topLeftCell="A2" activePane="bottomLeft" state="frozen"/>
      <selection pane="bottomLeft" activeCell="G22" sqref="G22"/>
    </sheetView>
  </sheetViews>
  <sheetFormatPr defaultColWidth="7.140625" defaultRowHeight="12.75" x14ac:dyDescent="0.2"/>
  <cols>
    <col min="1" max="1" width="10.7109375" style="6" bestFit="1" customWidth="1"/>
    <col min="2" max="2" width="7.140625" style="6" customWidth="1"/>
    <col min="3" max="3" width="9.5703125" style="6" customWidth="1"/>
    <col min="4" max="4" width="26.85546875" style="6" customWidth="1"/>
    <col min="5" max="5" width="10.28515625" style="2" customWidth="1"/>
    <col min="6" max="6" width="12.28515625" style="2" bestFit="1" customWidth="1"/>
    <col min="7" max="7" width="8" style="69" customWidth="1"/>
    <col min="8" max="8" width="6.28515625" style="9" customWidth="1"/>
    <col min="9" max="9" width="11.42578125" style="3" customWidth="1"/>
    <col min="10" max="10" width="6.140625" style="7" customWidth="1"/>
    <col min="11" max="11" width="7.140625" style="21" customWidth="1"/>
    <col min="12" max="12" width="8.140625" style="21" customWidth="1"/>
    <col min="13" max="13" width="9.42578125" style="7" customWidth="1"/>
    <col min="14" max="14" width="10.7109375" style="8" customWidth="1"/>
    <col min="15" max="15" width="10.7109375" style="8" bestFit="1" customWidth="1"/>
    <col min="16" max="16" width="3.7109375" style="13" customWidth="1"/>
    <col min="17" max="17" width="3.5703125" style="13" customWidth="1"/>
    <col min="18" max="18" width="14.5703125" style="119" bestFit="1" customWidth="1"/>
    <col min="19" max="19" width="11.42578125" style="147" customWidth="1"/>
    <col min="20" max="20" width="14.28515625" style="4" bestFit="1" customWidth="1"/>
    <col min="21" max="21" width="13.5703125" style="4" customWidth="1"/>
    <col min="22" max="22" width="16.28515625" style="4" customWidth="1"/>
    <col min="23" max="23" width="11" style="2" customWidth="1"/>
    <col min="24" max="24" width="4.140625" style="2" customWidth="1"/>
    <col min="25" max="25" width="10.28515625" style="2" bestFit="1" customWidth="1"/>
    <col min="26" max="26" width="10.28515625" style="5" bestFit="1" customWidth="1"/>
    <col min="27" max="27" width="4.28515625" style="14" customWidth="1"/>
    <col min="28" max="28" width="10.42578125" style="55" bestFit="1" customWidth="1"/>
    <col min="29" max="29" width="11.42578125" style="2" bestFit="1" customWidth="1"/>
    <col min="30" max="30" width="10.42578125" style="2" bestFit="1" customWidth="1"/>
    <col min="31" max="16384" width="7.140625" style="2"/>
  </cols>
  <sheetData>
    <row r="1" spans="1:30" s="4" customFormat="1" ht="30" x14ac:dyDescent="0.2">
      <c r="A1" s="15" t="s">
        <v>117</v>
      </c>
      <c r="B1" s="15" t="s">
        <v>21</v>
      </c>
      <c r="C1" s="15" t="s">
        <v>151</v>
      </c>
      <c r="D1" s="15" t="s">
        <v>152</v>
      </c>
      <c r="E1" s="15" t="s">
        <v>16</v>
      </c>
      <c r="F1" s="15" t="s">
        <v>17</v>
      </c>
      <c r="G1" s="28" t="s">
        <v>15</v>
      </c>
      <c r="H1" s="16" t="s">
        <v>14</v>
      </c>
      <c r="I1" s="15" t="s">
        <v>13</v>
      </c>
      <c r="J1" s="12" t="s">
        <v>23</v>
      </c>
      <c r="K1" s="20" t="s">
        <v>6</v>
      </c>
      <c r="L1" s="20" t="s">
        <v>22</v>
      </c>
      <c r="M1" s="12" t="s">
        <v>84</v>
      </c>
      <c r="N1" s="10" t="s">
        <v>12</v>
      </c>
      <c r="O1" s="10" t="s">
        <v>11</v>
      </c>
      <c r="P1" s="17" t="s">
        <v>24</v>
      </c>
      <c r="Q1" s="17" t="s">
        <v>1</v>
      </c>
      <c r="R1" s="117" t="s">
        <v>95</v>
      </c>
      <c r="S1" s="145" t="s">
        <v>93</v>
      </c>
      <c r="T1" s="18" t="s">
        <v>10</v>
      </c>
      <c r="U1" s="18" t="s">
        <v>217</v>
      </c>
      <c r="V1" s="18" t="s">
        <v>9</v>
      </c>
      <c r="W1" s="19" t="s">
        <v>8</v>
      </c>
      <c r="X1" s="19" t="s">
        <v>298</v>
      </c>
      <c r="Y1" s="11" t="s">
        <v>66</v>
      </c>
      <c r="Z1" s="18" t="s">
        <v>0</v>
      </c>
      <c r="AA1" s="18" t="s">
        <v>7</v>
      </c>
      <c r="AB1" s="56" t="s">
        <v>162</v>
      </c>
    </row>
    <row r="2" spans="1:30" ht="13.5" customHeight="1" x14ac:dyDescent="0.2">
      <c r="A2" s="42">
        <v>45546</v>
      </c>
      <c r="B2" s="43">
        <v>581344</v>
      </c>
      <c r="C2" s="43" t="s">
        <v>204</v>
      </c>
      <c r="D2" s="97" t="str">
        <f>IF(C2="H5130003","HW.CASHEW NUT W320____________( 22.68 KG )",IF(C2="H5130001","HW.CASHEW NUT W240____________( 22.68 KG )",IF(C2="H5130164","HW.CASHEW NUT W180____________( 22.68 KG )","")))</f>
        <v>HW.CASHEW NUT W320____________( 22.68 KG )</v>
      </c>
      <c r="E2" s="36" t="s">
        <v>5</v>
      </c>
      <c r="F2" s="36" t="s">
        <v>29</v>
      </c>
      <c r="G2" s="44" t="s">
        <v>4</v>
      </c>
      <c r="H2" s="45">
        <v>2024</v>
      </c>
      <c r="I2" s="44" t="s">
        <v>3</v>
      </c>
      <c r="J2" s="46">
        <v>3.22</v>
      </c>
      <c r="K2" s="47">
        <f t="shared" ref="K2:K37" si="0">M2/N2</f>
        <v>8.1818181818181818E-2</v>
      </c>
      <c r="L2" s="103">
        <f t="shared" ref="L2:L37" si="1">K2+J2</f>
        <v>3.3018181818181822</v>
      </c>
      <c r="M2" s="48">
        <v>4500</v>
      </c>
      <c r="N2" s="49">
        <v>55000</v>
      </c>
      <c r="O2" s="49">
        <f t="shared" ref="O2:O37" si="2">N2*0.4536</f>
        <v>24948</v>
      </c>
      <c r="P2" s="50">
        <v>40</v>
      </c>
      <c r="Q2" s="50">
        <v>1</v>
      </c>
      <c r="R2" s="118" t="s">
        <v>118</v>
      </c>
      <c r="S2" s="146"/>
      <c r="T2" s="36" t="s">
        <v>42</v>
      </c>
      <c r="U2" s="36"/>
      <c r="V2" s="38" t="s">
        <v>34</v>
      </c>
      <c r="W2" s="51" t="s">
        <v>30</v>
      </c>
      <c r="X2" s="62">
        <f>IFERROR(INDEX('GİRİŞ ANALİZİ'!$D:$D, MATCH($W2,'GİRİŞ ANALİZİ'!$B:$B, 0)),"Bulunamadı")</f>
        <v>2</v>
      </c>
      <c r="Y2" s="52">
        <v>45564</v>
      </c>
      <c r="Z2" s="53">
        <v>45610</v>
      </c>
      <c r="AA2" s="54">
        <f t="shared" ref="AA2:AA38" si="3">Z2-Y2</f>
        <v>46</v>
      </c>
      <c r="AB2" s="55" t="s">
        <v>98</v>
      </c>
      <c r="AD2" s="24" t="s">
        <v>99</v>
      </c>
    </row>
    <row r="3" spans="1:30" ht="13.5" customHeight="1" x14ac:dyDescent="0.2">
      <c r="A3" s="42">
        <v>45546</v>
      </c>
      <c r="B3" s="43">
        <v>581345</v>
      </c>
      <c r="C3" s="43" t="s">
        <v>204</v>
      </c>
      <c r="D3" s="97" t="str">
        <f t="shared" ref="D3:D66" si="4">IF(C3="H5130003","HW.CASHEW NUT W320____________( 22.68 KG )",IF(C3="H5130001","HW.CASHEW NUT W240____________( 22.68 KG )",IF(C3="H5130164","HW.CASHEW NUT W180____________( 22.68 KG )","")))</f>
        <v>HW.CASHEW NUT W320____________( 22.68 KG )</v>
      </c>
      <c r="E3" s="36" t="s">
        <v>5</v>
      </c>
      <c r="F3" s="36" t="s">
        <v>27</v>
      </c>
      <c r="G3" s="44" t="s">
        <v>4</v>
      </c>
      <c r="H3" s="45">
        <v>2024</v>
      </c>
      <c r="I3" s="44" t="s">
        <v>3</v>
      </c>
      <c r="J3" s="46">
        <v>3.25</v>
      </c>
      <c r="K3" s="47">
        <f t="shared" si="0"/>
        <v>8.1818181818181818E-2</v>
      </c>
      <c r="L3" s="103">
        <f t="shared" si="1"/>
        <v>3.331818181818182</v>
      </c>
      <c r="M3" s="48">
        <v>4500</v>
      </c>
      <c r="N3" s="49">
        <v>55000</v>
      </c>
      <c r="O3" s="49">
        <f t="shared" si="2"/>
        <v>24948</v>
      </c>
      <c r="P3" s="50">
        <v>40</v>
      </c>
      <c r="Q3" s="50">
        <v>1</v>
      </c>
      <c r="R3" s="118" t="s">
        <v>174</v>
      </c>
      <c r="S3" s="146"/>
      <c r="T3" s="36" t="s">
        <v>40</v>
      </c>
      <c r="U3" s="36"/>
      <c r="V3" s="38" t="s">
        <v>33</v>
      </c>
      <c r="W3" s="51" t="s">
        <v>28</v>
      </c>
      <c r="X3" s="62">
        <f>IFERROR(INDEX('GİRİŞ ANALİZİ'!$D:$D, MATCH($W3,'GİRİŞ ANALİZİ'!$B:$B, 0)),"Bulunamadı")</f>
        <v>1</v>
      </c>
      <c r="Y3" s="52">
        <v>45558</v>
      </c>
      <c r="Z3" s="53">
        <v>45610</v>
      </c>
      <c r="AA3" s="54">
        <f t="shared" si="3"/>
        <v>52</v>
      </c>
      <c r="AB3" s="55" t="s">
        <v>98</v>
      </c>
      <c r="AD3" s="35" t="s">
        <v>96</v>
      </c>
    </row>
    <row r="4" spans="1:30" ht="13.5" customHeight="1" x14ac:dyDescent="0.2">
      <c r="A4" s="42">
        <v>45546</v>
      </c>
      <c r="B4" s="43">
        <v>581342</v>
      </c>
      <c r="C4" s="43" t="s">
        <v>204</v>
      </c>
      <c r="D4" s="97" t="str">
        <f t="shared" si="4"/>
        <v>HW.CASHEW NUT W320____________( 22.68 KG )</v>
      </c>
      <c r="E4" s="36" t="s">
        <v>5</v>
      </c>
      <c r="F4" s="36" t="s">
        <v>25</v>
      </c>
      <c r="G4" s="44" t="s">
        <v>4</v>
      </c>
      <c r="H4" s="45">
        <v>2024</v>
      </c>
      <c r="I4" s="44" t="s">
        <v>3</v>
      </c>
      <c r="J4" s="46">
        <v>3.22</v>
      </c>
      <c r="K4" s="47">
        <f t="shared" si="0"/>
        <v>8.1818181818181818E-2</v>
      </c>
      <c r="L4" s="103">
        <f t="shared" si="1"/>
        <v>3.3018181818181822</v>
      </c>
      <c r="M4" s="48">
        <v>4500</v>
      </c>
      <c r="N4" s="49">
        <v>55000</v>
      </c>
      <c r="O4" s="49">
        <f t="shared" si="2"/>
        <v>24948</v>
      </c>
      <c r="P4" s="50">
        <v>40</v>
      </c>
      <c r="Q4" s="50">
        <v>1</v>
      </c>
      <c r="R4" s="118" t="s">
        <v>175</v>
      </c>
      <c r="S4" s="146"/>
      <c r="T4" s="36" t="s">
        <v>41</v>
      </c>
      <c r="U4" s="36"/>
      <c r="V4" s="38" t="s">
        <v>35</v>
      </c>
      <c r="W4" s="51" t="s">
        <v>31</v>
      </c>
      <c r="X4" s="62" t="str">
        <f>IFERROR(INDEX('GİRİŞ ANALİZİ'!$D:$D, MATCH($W4,'GİRİŞ ANALİZİ'!$B:$B, 0)),"Bulunamadı")</f>
        <v>Bulunamadı</v>
      </c>
      <c r="Y4" s="52">
        <v>45569</v>
      </c>
      <c r="Z4" s="53">
        <v>45616</v>
      </c>
      <c r="AA4" s="54">
        <f t="shared" si="3"/>
        <v>47</v>
      </c>
      <c r="AB4" s="55" t="s">
        <v>98</v>
      </c>
      <c r="AD4" s="25" t="s">
        <v>97</v>
      </c>
    </row>
    <row r="5" spans="1:30" ht="13.5" customHeight="1" x14ac:dyDescent="0.2">
      <c r="A5" s="42">
        <v>45577</v>
      </c>
      <c r="B5" s="43">
        <v>588102</v>
      </c>
      <c r="C5" s="43" t="s">
        <v>204</v>
      </c>
      <c r="D5" s="97" t="str">
        <f t="shared" si="4"/>
        <v>HW.CASHEW NUT W320____________( 22.68 KG )</v>
      </c>
      <c r="E5" s="36" t="s">
        <v>5</v>
      </c>
      <c r="F5" s="36" t="s">
        <v>25</v>
      </c>
      <c r="G5" s="44" t="s">
        <v>4</v>
      </c>
      <c r="H5" s="45">
        <v>2024</v>
      </c>
      <c r="I5" s="44" t="s">
        <v>3</v>
      </c>
      <c r="J5" s="46">
        <v>3.27</v>
      </c>
      <c r="K5" s="47">
        <f t="shared" si="0"/>
        <v>6.545454545454546E-2</v>
      </c>
      <c r="L5" s="103">
        <f t="shared" si="1"/>
        <v>3.3354545454545454</v>
      </c>
      <c r="M5" s="48">
        <v>3600</v>
      </c>
      <c r="N5" s="49">
        <v>55000</v>
      </c>
      <c r="O5" s="49">
        <f t="shared" si="2"/>
        <v>24948</v>
      </c>
      <c r="P5" s="50">
        <v>40</v>
      </c>
      <c r="Q5" s="50">
        <v>1</v>
      </c>
      <c r="R5" s="118" t="s">
        <v>176</v>
      </c>
      <c r="S5" s="146"/>
      <c r="T5" s="36" t="s">
        <v>43</v>
      </c>
      <c r="U5" s="36"/>
      <c r="V5" s="38" t="s">
        <v>47</v>
      </c>
      <c r="W5" s="51" t="s">
        <v>37</v>
      </c>
      <c r="X5" s="62">
        <f>IFERROR(INDEX('GİRİŞ ANALİZİ'!$D:$D, MATCH($W5,'GİRİŞ ANALİZİ'!$B:$B, 0)),"Bulunamadı")</f>
        <v>4</v>
      </c>
      <c r="Y5" s="52">
        <v>45578</v>
      </c>
      <c r="Z5" s="53">
        <v>45628</v>
      </c>
      <c r="AA5" s="54">
        <f t="shared" si="3"/>
        <v>50</v>
      </c>
      <c r="AB5" s="55" t="s">
        <v>98</v>
      </c>
      <c r="AD5" s="23" t="s">
        <v>98</v>
      </c>
    </row>
    <row r="6" spans="1:30" ht="13.5" customHeight="1" thickBot="1" x14ac:dyDescent="0.25">
      <c r="A6" s="42">
        <v>45562</v>
      </c>
      <c r="B6" s="43">
        <v>585022</v>
      </c>
      <c r="C6" s="43" t="s">
        <v>204</v>
      </c>
      <c r="D6" s="97" t="str">
        <f t="shared" si="4"/>
        <v>HW.CASHEW NUT W320____________( 22.68 KG )</v>
      </c>
      <c r="E6" s="36" t="s">
        <v>5</v>
      </c>
      <c r="F6" s="36" t="s">
        <v>27</v>
      </c>
      <c r="G6" s="44" t="s">
        <v>4</v>
      </c>
      <c r="H6" s="45">
        <v>2024</v>
      </c>
      <c r="I6" s="44" t="s">
        <v>3</v>
      </c>
      <c r="J6" s="46">
        <v>3.25</v>
      </c>
      <c r="K6" s="47">
        <f t="shared" si="0"/>
        <v>6.545454545454546E-2</v>
      </c>
      <c r="L6" s="103">
        <f t="shared" si="1"/>
        <v>3.3154545454545454</v>
      </c>
      <c r="M6" s="48">
        <v>3600</v>
      </c>
      <c r="N6" s="49">
        <v>55000</v>
      </c>
      <c r="O6" s="49">
        <f t="shared" si="2"/>
        <v>24948</v>
      </c>
      <c r="P6" s="50">
        <v>40</v>
      </c>
      <c r="Q6" s="50">
        <v>1</v>
      </c>
      <c r="R6" s="118" t="s">
        <v>177</v>
      </c>
      <c r="S6" s="146"/>
      <c r="T6" s="36" t="s">
        <v>44</v>
      </c>
      <c r="U6" s="36"/>
      <c r="V6" s="38" t="s">
        <v>39</v>
      </c>
      <c r="W6" s="51" t="s">
        <v>36</v>
      </c>
      <c r="X6" s="62">
        <f>IFERROR(INDEX('GİRİŞ ANALİZİ'!$D:$D, MATCH($W6,'GİRİŞ ANALİZİ'!$B:$B, 0)),"Bulunamadı")</f>
        <v>5</v>
      </c>
      <c r="Y6" s="52">
        <v>45585</v>
      </c>
      <c r="Z6" s="53">
        <v>45636</v>
      </c>
      <c r="AA6" s="54">
        <f t="shared" si="3"/>
        <v>51</v>
      </c>
      <c r="AB6" s="55" t="s">
        <v>98</v>
      </c>
      <c r="AD6" s="98" t="s">
        <v>345</v>
      </c>
    </row>
    <row r="7" spans="1:30" ht="13.5" customHeight="1" x14ac:dyDescent="0.2">
      <c r="A7" s="42">
        <v>45577</v>
      </c>
      <c r="B7" s="43">
        <v>588103</v>
      </c>
      <c r="C7" s="43" t="s">
        <v>204</v>
      </c>
      <c r="D7" s="97" t="str">
        <f t="shared" si="4"/>
        <v>HW.CASHEW NUT W320____________( 22.68 KG )</v>
      </c>
      <c r="E7" s="36" t="s">
        <v>5</v>
      </c>
      <c r="F7" s="36" t="s">
        <v>25</v>
      </c>
      <c r="G7" s="44" t="s">
        <v>4</v>
      </c>
      <c r="H7" s="45">
        <v>2024</v>
      </c>
      <c r="I7" s="44" t="s">
        <v>3</v>
      </c>
      <c r="J7" s="46">
        <v>3.32</v>
      </c>
      <c r="K7" s="47">
        <f t="shared" si="0"/>
        <v>6.545454545454546E-2</v>
      </c>
      <c r="L7" s="103">
        <f t="shared" si="1"/>
        <v>3.3854545454545453</v>
      </c>
      <c r="M7" s="48">
        <v>3600</v>
      </c>
      <c r="N7" s="49">
        <v>55000</v>
      </c>
      <c r="O7" s="49">
        <f t="shared" si="2"/>
        <v>24948</v>
      </c>
      <c r="P7" s="50">
        <v>40</v>
      </c>
      <c r="Q7" s="50">
        <v>1</v>
      </c>
      <c r="R7" s="118" t="s">
        <v>178</v>
      </c>
      <c r="S7" s="146"/>
      <c r="T7" s="36" t="s">
        <v>46</v>
      </c>
      <c r="U7" s="36"/>
      <c r="V7" s="38" t="s">
        <v>48</v>
      </c>
      <c r="W7" s="51" t="s">
        <v>192</v>
      </c>
      <c r="X7" s="62">
        <f>IFERROR(INDEX('GİRİŞ ANALİZİ'!$D:$D, MATCH($W7,'GİRİŞ ANALİZİ'!$B:$B, 0)),"Bulunamadı")</f>
        <v>6</v>
      </c>
      <c r="Y7" s="52">
        <v>45588</v>
      </c>
      <c r="Z7" s="53">
        <v>45636</v>
      </c>
      <c r="AA7" s="54">
        <f t="shared" si="3"/>
        <v>48</v>
      </c>
      <c r="AB7" s="55" t="s">
        <v>98</v>
      </c>
      <c r="AD7" s="151" t="s">
        <v>2</v>
      </c>
    </row>
    <row r="8" spans="1:30" ht="13.5" customHeight="1" x14ac:dyDescent="0.2">
      <c r="A8" s="42">
        <v>45562</v>
      </c>
      <c r="B8" s="43">
        <v>585005</v>
      </c>
      <c r="C8" s="43" t="s">
        <v>208</v>
      </c>
      <c r="D8" s="97" t="str">
        <f t="shared" si="4"/>
        <v>HW.CASHEW NUT W240____________( 22.68 KG )</v>
      </c>
      <c r="E8" s="36" t="s">
        <v>5</v>
      </c>
      <c r="F8" s="36" t="s">
        <v>27</v>
      </c>
      <c r="G8" s="44" t="s">
        <v>19</v>
      </c>
      <c r="H8" s="45">
        <v>2024</v>
      </c>
      <c r="I8" s="44" t="s">
        <v>3</v>
      </c>
      <c r="J8" s="46">
        <v>3.6</v>
      </c>
      <c r="K8" s="47">
        <f t="shared" si="0"/>
        <v>6.545454545454546E-2</v>
      </c>
      <c r="L8" s="103">
        <f t="shared" si="1"/>
        <v>3.6654545454545455</v>
      </c>
      <c r="M8" s="48">
        <v>3600</v>
      </c>
      <c r="N8" s="49">
        <v>55000</v>
      </c>
      <c r="O8" s="49">
        <f t="shared" si="2"/>
        <v>24948</v>
      </c>
      <c r="P8" s="50">
        <v>40</v>
      </c>
      <c r="Q8" s="50">
        <v>1</v>
      </c>
      <c r="R8" s="118" t="s">
        <v>179</v>
      </c>
      <c r="S8" s="146"/>
      <c r="T8" s="36" t="s">
        <v>45</v>
      </c>
      <c r="U8" s="36"/>
      <c r="V8" s="38" t="s">
        <v>38</v>
      </c>
      <c r="W8" s="51" t="s">
        <v>32</v>
      </c>
      <c r="X8" s="62">
        <v>8</v>
      </c>
      <c r="Y8" s="52">
        <v>45588</v>
      </c>
      <c r="Z8" s="53">
        <v>45656</v>
      </c>
      <c r="AA8" s="54">
        <f t="shared" si="3"/>
        <v>68</v>
      </c>
      <c r="AB8" s="55" t="s">
        <v>98</v>
      </c>
      <c r="AD8" s="152"/>
    </row>
    <row r="9" spans="1:30" ht="13.5" customHeight="1" thickBot="1" x14ac:dyDescent="0.25">
      <c r="A9" s="42">
        <v>45638</v>
      </c>
      <c r="B9" s="43">
        <v>588103</v>
      </c>
      <c r="C9" s="43" t="s">
        <v>204</v>
      </c>
      <c r="D9" s="97" t="str">
        <f t="shared" si="4"/>
        <v>HW.CASHEW NUT W320____________( 22.68 KG )</v>
      </c>
      <c r="E9" s="36" t="s">
        <v>5</v>
      </c>
      <c r="F9" s="36" t="s">
        <v>25</v>
      </c>
      <c r="G9" s="44" t="s">
        <v>4</v>
      </c>
      <c r="H9" s="45">
        <v>2024</v>
      </c>
      <c r="I9" s="44" t="s">
        <v>3</v>
      </c>
      <c r="J9" s="46">
        <v>3.32</v>
      </c>
      <c r="K9" s="47">
        <f t="shared" si="0"/>
        <v>6.545454545454546E-2</v>
      </c>
      <c r="L9" s="103">
        <f t="shared" si="1"/>
        <v>3.3854545454545453</v>
      </c>
      <c r="M9" s="48">
        <v>3600</v>
      </c>
      <c r="N9" s="49">
        <v>55000</v>
      </c>
      <c r="O9" s="49">
        <f t="shared" si="2"/>
        <v>24948</v>
      </c>
      <c r="P9" s="50">
        <v>40</v>
      </c>
      <c r="Q9" s="50">
        <v>1</v>
      </c>
      <c r="R9" s="118" t="s">
        <v>180</v>
      </c>
      <c r="S9" s="146"/>
      <c r="T9" s="36" t="s">
        <v>49</v>
      </c>
      <c r="U9" s="36"/>
      <c r="V9" s="38" t="s">
        <v>48</v>
      </c>
      <c r="W9" s="51" t="s">
        <v>200</v>
      </c>
      <c r="X9" s="62">
        <f>IFERROR(INDEX('GİRİŞ ANALİZİ'!$D:$D, MATCH($W9,'GİRİŞ ANALİZİ'!$B:$B, 0)),"Bulunamadı")</f>
        <v>7</v>
      </c>
      <c r="Y9" s="52">
        <v>45600</v>
      </c>
      <c r="Z9" s="53">
        <v>45656</v>
      </c>
      <c r="AA9" s="54">
        <f t="shared" si="3"/>
        <v>56</v>
      </c>
      <c r="AB9" s="55" t="s">
        <v>98</v>
      </c>
      <c r="AD9" s="153"/>
    </row>
    <row r="10" spans="1:30" ht="13.5" customHeight="1" x14ac:dyDescent="0.2">
      <c r="A10" s="42">
        <v>45638</v>
      </c>
      <c r="B10" s="43">
        <v>588103</v>
      </c>
      <c r="C10" s="43" t="s">
        <v>204</v>
      </c>
      <c r="D10" s="97" t="str">
        <f t="shared" si="4"/>
        <v>HW.CASHEW NUT W320____________( 22.68 KG )</v>
      </c>
      <c r="E10" s="36" t="s">
        <v>5</v>
      </c>
      <c r="F10" s="36" t="s">
        <v>25</v>
      </c>
      <c r="G10" s="44" t="s">
        <v>4</v>
      </c>
      <c r="H10" s="45">
        <v>2024</v>
      </c>
      <c r="I10" s="44" t="s">
        <v>3</v>
      </c>
      <c r="J10" s="46">
        <v>3.32</v>
      </c>
      <c r="K10" s="47">
        <f t="shared" si="0"/>
        <v>8.4000000000000005E-2</v>
      </c>
      <c r="L10" s="103">
        <f t="shared" si="1"/>
        <v>3.4039999999999999</v>
      </c>
      <c r="M10" s="48">
        <v>4620</v>
      </c>
      <c r="N10" s="49">
        <v>55000</v>
      </c>
      <c r="O10" s="49">
        <f t="shared" si="2"/>
        <v>24948</v>
      </c>
      <c r="P10" s="50">
        <v>40</v>
      </c>
      <c r="Q10" s="50">
        <v>1</v>
      </c>
      <c r="R10" s="118" t="s">
        <v>181</v>
      </c>
      <c r="S10" s="146"/>
      <c r="T10" s="36" t="s">
        <v>51</v>
      </c>
      <c r="U10" s="36"/>
      <c r="V10" s="38" t="s">
        <v>48</v>
      </c>
      <c r="W10" s="51" t="s">
        <v>193</v>
      </c>
      <c r="X10" s="62">
        <f>IFERROR(INDEX('GİRİŞ ANALİZİ'!$D:$D, MATCH($W10,'GİRİŞ ANALİZİ'!$B:$B, 0)),"Bulunamadı")</f>
        <v>10</v>
      </c>
      <c r="Y10" s="52">
        <v>45602</v>
      </c>
      <c r="Z10" s="53">
        <v>45656</v>
      </c>
      <c r="AA10" s="54">
        <f t="shared" si="3"/>
        <v>54</v>
      </c>
      <c r="AB10" s="55" t="s">
        <v>98</v>
      </c>
      <c r="AD10" s="154">
        <v>45993</v>
      </c>
    </row>
    <row r="11" spans="1:30" ht="13.5" customHeight="1" thickBot="1" x14ac:dyDescent="0.25">
      <c r="A11" s="42">
        <v>45626</v>
      </c>
      <c r="B11" s="43">
        <v>596417</v>
      </c>
      <c r="C11" s="43" t="s">
        <v>204</v>
      </c>
      <c r="D11" s="97" t="str">
        <f t="shared" si="4"/>
        <v>HW.CASHEW NUT W320____________( 22.68 KG )</v>
      </c>
      <c r="E11" s="36" t="s">
        <v>5</v>
      </c>
      <c r="F11" s="36" t="s">
        <v>27</v>
      </c>
      <c r="G11" s="44" t="s">
        <v>4</v>
      </c>
      <c r="H11" s="45">
        <v>2024</v>
      </c>
      <c r="I11" s="44" t="s">
        <v>3</v>
      </c>
      <c r="J11" s="46">
        <v>3.5</v>
      </c>
      <c r="K11" s="47">
        <f t="shared" si="0"/>
        <v>0.10636363636363637</v>
      </c>
      <c r="L11" s="103">
        <f t="shared" si="1"/>
        <v>3.6063636363636364</v>
      </c>
      <c r="M11" s="48">
        <v>5850</v>
      </c>
      <c r="N11" s="49">
        <v>55000</v>
      </c>
      <c r="O11" s="49">
        <f t="shared" si="2"/>
        <v>24948</v>
      </c>
      <c r="P11" s="50">
        <v>40</v>
      </c>
      <c r="Q11" s="50">
        <v>1</v>
      </c>
      <c r="R11" s="118" t="s">
        <v>191</v>
      </c>
      <c r="S11" s="146"/>
      <c r="T11" s="36" t="s">
        <v>53</v>
      </c>
      <c r="U11" s="36" t="s">
        <v>326</v>
      </c>
      <c r="V11" s="38" t="s">
        <v>57</v>
      </c>
      <c r="W11" s="51" t="s">
        <v>190</v>
      </c>
      <c r="X11" s="62">
        <f>IFERROR(INDEX('GİRİŞ ANALİZİ'!$D:$D, MATCH($W11,'GİRİŞ ANALİZİ'!$B:$B, 0)),"Bulunamadı")</f>
        <v>11</v>
      </c>
      <c r="Y11" s="52">
        <v>45627</v>
      </c>
      <c r="Z11" s="53">
        <v>45677</v>
      </c>
      <c r="AA11" s="54">
        <f t="shared" si="3"/>
        <v>50</v>
      </c>
      <c r="AB11" s="55" t="s">
        <v>98</v>
      </c>
      <c r="AD11" s="155"/>
    </row>
    <row r="12" spans="1:30" ht="13.5" customHeight="1" x14ac:dyDescent="0.2">
      <c r="A12" s="42">
        <v>45626</v>
      </c>
      <c r="B12" s="43">
        <v>596417</v>
      </c>
      <c r="C12" s="43" t="s">
        <v>204</v>
      </c>
      <c r="D12" s="97" t="str">
        <f t="shared" si="4"/>
        <v>HW.CASHEW NUT W320____________( 22.68 KG )</v>
      </c>
      <c r="E12" s="36" t="s">
        <v>5</v>
      </c>
      <c r="F12" s="36" t="s">
        <v>27</v>
      </c>
      <c r="G12" s="44" t="s">
        <v>4</v>
      </c>
      <c r="H12" s="45">
        <v>2024</v>
      </c>
      <c r="I12" s="44" t="s">
        <v>3</v>
      </c>
      <c r="J12" s="46">
        <v>3.5</v>
      </c>
      <c r="K12" s="47">
        <f t="shared" si="0"/>
        <v>0.12454545454545454</v>
      </c>
      <c r="L12" s="103">
        <f t="shared" si="1"/>
        <v>3.6245454545454545</v>
      </c>
      <c r="M12" s="48">
        <v>6850</v>
      </c>
      <c r="N12" s="49">
        <v>55000</v>
      </c>
      <c r="O12" s="49">
        <f t="shared" si="2"/>
        <v>24948</v>
      </c>
      <c r="P12" s="50">
        <v>40</v>
      </c>
      <c r="Q12" s="50">
        <v>1</v>
      </c>
      <c r="R12" s="118" t="s">
        <v>182</v>
      </c>
      <c r="S12" s="146"/>
      <c r="T12" s="36" t="s">
        <v>54</v>
      </c>
      <c r="U12" s="36" t="s">
        <v>327</v>
      </c>
      <c r="V12" s="38" t="s">
        <v>57</v>
      </c>
      <c r="W12" s="51" t="s">
        <v>201</v>
      </c>
      <c r="X12" s="62">
        <f>IFERROR(INDEX('GİRİŞ ANALİZİ'!$D:$D, MATCH($W12,'GİRİŞ ANALİZİ'!$B:$B, 0)),"Bulunamadı")</f>
        <v>12</v>
      </c>
      <c r="Y12" s="52">
        <v>45643</v>
      </c>
      <c r="Z12" s="53">
        <v>45692</v>
      </c>
      <c r="AA12" s="54">
        <f t="shared" si="3"/>
        <v>49</v>
      </c>
      <c r="AB12" s="55" t="s">
        <v>98</v>
      </c>
    </row>
    <row r="13" spans="1:30" ht="13.5" customHeight="1" x14ac:dyDescent="0.2">
      <c r="A13" s="42">
        <v>45626</v>
      </c>
      <c r="B13" s="43">
        <v>596418</v>
      </c>
      <c r="C13" s="43" t="s">
        <v>208</v>
      </c>
      <c r="D13" s="97" t="str">
        <f t="shared" si="4"/>
        <v>HW.CASHEW NUT W240____________( 22.68 KG )</v>
      </c>
      <c r="E13" s="36" t="s">
        <v>5</v>
      </c>
      <c r="F13" s="36" t="s">
        <v>27</v>
      </c>
      <c r="G13" s="44" t="s">
        <v>19</v>
      </c>
      <c r="H13" s="45">
        <v>2024</v>
      </c>
      <c r="I13" s="44" t="s">
        <v>3</v>
      </c>
      <c r="J13" s="46">
        <v>3.7</v>
      </c>
      <c r="K13" s="47">
        <f t="shared" si="0"/>
        <v>0.12454545454545454</v>
      </c>
      <c r="L13" s="103">
        <f t="shared" si="1"/>
        <v>3.8245454545454547</v>
      </c>
      <c r="M13" s="48">
        <v>6850</v>
      </c>
      <c r="N13" s="49">
        <v>55000</v>
      </c>
      <c r="O13" s="49">
        <f t="shared" si="2"/>
        <v>24948</v>
      </c>
      <c r="P13" s="50">
        <v>40</v>
      </c>
      <c r="Q13" s="50">
        <v>1</v>
      </c>
      <c r="R13" s="118" t="s">
        <v>183</v>
      </c>
      <c r="S13" s="146"/>
      <c r="T13" s="36" t="s">
        <v>55</v>
      </c>
      <c r="U13" s="36"/>
      <c r="V13" s="38" t="s">
        <v>58</v>
      </c>
      <c r="W13" s="51" t="s">
        <v>50</v>
      </c>
      <c r="X13" s="62">
        <v>13</v>
      </c>
      <c r="Y13" s="52">
        <v>45644</v>
      </c>
      <c r="Z13" s="53">
        <v>45692</v>
      </c>
      <c r="AA13" s="54">
        <f t="shared" si="3"/>
        <v>48</v>
      </c>
      <c r="AB13" s="55" t="s">
        <v>98</v>
      </c>
    </row>
    <row r="14" spans="1:30" ht="13.5" customHeight="1" x14ac:dyDescent="0.2">
      <c r="A14" s="42">
        <v>45677</v>
      </c>
      <c r="B14" s="43">
        <v>604842</v>
      </c>
      <c r="C14" s="43" t="s">
        <v>208</v>
      </c>
      <c r="D14" s="97" t="str">
        <f t="shared" si="4"/>
        <v>HW.CASHEW NUT W240____________( 22.68 KG )</v>
      </c>
      <c r="E14" s="36" t="s">
        <v>5</v>
      </c>
      <c r="F14" s="36" t="s">
        <v>25</v>
      </c>
      <c r="G14" s="44" t="s">
        <v>19</v>
      </c>
      <c r="H14" s="45">
        <v>2024</v>
      </c>
      <c r="I14" s="44" t="s">
        <v>3</v>
      </c>
      <c r="J14" s="46">
        <v>3.68</v>
      </c>
      <c r="K14" s="47">
        <f t="shared" si="0"/>
        <v>0.12454545454545454</v>
      </c>
      <c r="L14" s="103">
        <f t="shared" si="1"/>
        <v>3.8045454545454547</v>
      </c>
      <c r="M14" s="48">
        <v>6850</v>
      </c>
      <c r="N14" s="49">
        <v>55000</v>
      </c>
      <c r="O14" s="49">
        <f t="shared" si="2"/>
        <v>24948</v>
      </c>
      <c r="P14" s="50">
        <v>40</v>
      </c>
      <c r="Q14" s="50">
        <v>1</v>
      </c>
      <c r="R14" s="118" t="s">
        <v>184</v>
      </c>
      <c r="S14" s="146"/>
      <c r="T14" s="36" t="s">
        <v>56</v>
      </c>
      <c r="U14" s="36"/>
      <c r="V14" s="38" t="s">
        <v>61</v>
      </c>
      <c r="W14" s="51" t="s">
        <v>52</v>
      </c>
      <c r="X14" s="62">
        <v>14</v>
      </c>
      <c r="Y14" s="52">
        <v>45644</v>
      </c>
      <c r="Z14" s="53">
        <v>45692</v>
      </c>
      <c r="AA14" s="54">
        <f t="shared" si="3"/>
        <v>48</v>
      </c>
      <c r="AB14" s="55" t="s">
        <v>98</v>
      </c>
    </row>
    <row r="15" spans="1:30" ht="13.5" customHeight="1" x14ac:dyDescent="0.2">
      <c r="A15" s="42">
        <v>45677</v>
      </c>
      <c r="B15" s="43">
        <v>604850</v>
      </c>
      <c r="C15" s="43" t="s">
        <v>208</v>
      </c>
      <c r="D15" s="97" t="str">
        <f t="shared" si="4"/>
        <v>HW.CASHEW NUT W240____________( 22.68 KG )</v>
      </c>
      <c r="E15" s="36" t="s">
        <v>5</v>
      </c>
      <c r="F15" s="36" t="s">
        <v>27</v>
      </c>
      <c r="G15" s="44" t="s">
        <v>19</v>
      </c>
      <c r="H15" s="45">
        <v>2024</v>
      </c>
      <c r="I15" s="44" t="s">
        <v>3</v>
      </c>
      <c r="J15" s="46">
        <v>3.62</v>
      </c>
      <c r="K15" s="47">
        <f t="shared" si="0"/>
        <v>0.11636363636363636</v>
      </c>
      <c r="L15" s="103">
        <f t="shared" si="1"/>
        <v>3.7363636363636363</v>
      </c>
      <c r="M15" s="48">
        <v>6400</v>
      </c>
      <c r="N15" s="49">
        <v>55000</v>
      </c>
      <c r="O15" s="49">
        <f t="shared" si="2"/>
        <v>24948</v>
      </c>
      <c r="P15" s="50">
        <v>40</v>
      </c>
      <c r="Q15" s="50">
        <v>1</v>
      </c>
      <c r="R15" s="118" t="s">
        <v>185</v>
      </c>
      <c r="S15" s="146"/>
      <c r="T15" s="36" t="s">
        <v>65</v>
      </c>
      <c r="U15" s="36"/>
      <c r="V15" s="38" t="s">
        <v>62</v>
      </c>
      <c r="W15" s="51" t="s">
        <v>59</v>
      </c>
      <c r="X15" s="62">
        <v>15</v>
      </c>
      <c r="Y15" s="52">
        <v>45679</v>
      </c>
      <c r="Z15" s="53">
        <v>45729</v>
      </c>
      <c r="AA15" s="54">
        <f t="shared" si="3"/>
        <v>50</v>
      </c>
      <c r="AB15" s="55" t="s">
        <v>98</v>
      </c>
    </row>
    <row r="16" spans="1:30" ht="13.5" customHeight="1" x14ac:dyDescent="0.2">
      <c r="A16" s="42">
        <v>45677</v>
      </c>
      <c r="B16" s="43">
        <v>604854</v>
      </c>
      <c r="C16" s="43" t="s">
        <v>208</v>
      </c>
      <c r="D16" s="97" t="str">
        <f t="shared" si="4"/>
        <v>HW.CASHEW NUT W240____________( 22.68 KG )</v>
      </c>
      <c r="E16" s="36" t="s">
        <v>5</v>
      </c>
      <c r="F16" s="36" t="s">
        <v>26</v>
      </c>
      <c r="G16" s="44" t="s">
        <v>19</v>
      </c>
      <c r="H16" s="45">
        <v>2024</v>
      </c>
      <c r="I16" s="44" t="s">
        <v>3</v>
      </c>
      <c r="J16" s="46">
        <v>3.6</v>
      </c>
      <c r="K16" s="47">
        <f t="shared" si="0"/>
        <v>0.11636363636363636</v>
      </c>
      <c r="L16" s="103">
        <f t="shared" si="1"/>
        <v>3.7163636363636363</v>
      </c>
      <c r="M16" s="48">
        <v>6400</v>
      </c>
      <c r="N16" s="49">
        <v>55000</v>
      </c>
      <c r="O16" s="49">
        <f t="shared" si="2"/>
        <v>24948</v>
      </c>
      <c r="P16" s="50">
        <v>40</v>
      </c>
      <c r="Q16" s="50">
        <v>1</v>
      </c>
      <c r="R16" s="118" t="s">
        <v>186</v>
      </c>
      <c r="S16" s="146"/>
      <c r="T16" s="36" t="s">
        <v>64</v>
      </c>
      <c r="U16" s="36"/>
      <c r="V16" s="38" t="s">
        <v>63</v>
      </c>
      <c r="W16" s="51" t="s">
        <v>60</v>
      </c>
      <c r="X16" s="62">
        <v>16</v>
      </c>
      <c r="Y16" s="52">
        <v>45679</v>
      </c>
      <c r="Z16" s="53">
        <v>45729</v>
      </c>
      <c r="AA16" s="54">
        <f t="shared" si="3"/>
        <v>50</v>
      </c>
      <c r="AB16" s="55" t="s">
        <v>98</v>
      </c>
    </row>
    <row r="17" spans="1:28" ht="13.5" customHeight="1" x14ac:dyDescent="0.2">
      <c r="A17" s="42">
        <v>45719</v>
      </c>
      <c r="B17" s="43">
        <v>611081</v>
      </c>
      <c r="C17" s="43" t="s">
        <v>204</v>
      </c>
      <c r="D17" s="97" t="str">
        <f t="shared" si="4"/>
        <v>HW.CASHEW NUT W320____________( 22.68 KG )</v>
      </c>
      <c r="E17" s="36" t="s">
        <v>5</v>
      </c>
      <c r="F17" s="36" t="s">
        <v>25</v>
      </c>
      <c r="G17" s="44" t="s">
        <v>4</v>
      </c>
      <c r="H17" s="45">
        <v>2024</v>
      </c>
      <c r="I17" s="44" t="s">
        <v>3</v>
      </c>
      <c r="J17" s="46">
        <v>3.22</v>
      </c>
      <c r="K17" s="47">
        <f t="shared" si="0"/>
        <v>7.8363636363636358E-2</v>
      </c>
      <c r="L17" s="103">
        <f t="shared" si="1"/>
        <v>3.2983636363636366</v>
      </c>
      <c r="M17" s="48">
        <v>4310</v>
      </c>
      <c r="N17" s="49">
        <v>55000</v>
      </c>
      <c r="O17" s="49">
        <f t="shared" si="2"/>
        <v>24948</v>
      </c>
      <c r="P17" s="50">
        <v>40</v>
      </c>
      <c r="Q17" s="50">
        <v>1</v>
      </c>
      <c r="R17" s="118" t="s">
        <v>173</v>
      </c>
      <c r="S17" s="146"/>
      <c r="T17" s="36" t="s">
        <v>70</v>
      </c>
      <c r="U17" s="36"/>
      <c r="V17" s="38" t="s">
        <v>69</v>
      </c>
      <c r="W17" s="51" t="s">
        <v>189</v>
      </c>
      <c r="X17" s="62">
        <f>IFERROR(INDEX('GİRİŞ ANALİZİ'!$D:$D, MATCH($W17,'GİRİŞ ANALİZİ'!$B:$B, 0)),"Bulunamadı")</f>
        <v>17</v>
      </c>
      <c r="Y17" s="52">
        <v>45726</v>
      </c>
      <c r="Z17" s="53">
        <v>45771</v>
      </c>
      <c r="AA17" s="54">
        <f t="shared" si="3"/>
        <v>45</v>
      </c>
      <c r="AB17" s="55" t="s">
        <v>98</v>
      </c>
    </row>
    <row r="18" spans="1:28" ht="13.5" customHeight="1" x14ac:dyDescent="0.2">
      <c r="A18" s="42">
        <v>45707</v>
      </c>
      <c r="B18" s="43">
        <v>609356</v>
      </c>
      <c r="C18" s="43" t="s">
        <v>204</v>
      </c>
      <c r="D18" s="97" t="str">
        <f t="shared" si="4"/>
        <v>HW.CASHEW NUT W320____________( 22.68 KG )</v>
      </c>
      <c r="E18" s="36" t="s">
        <v>5</v>
      </c>
      <c r="F18" s="36" t="s">
        <v>29</v>
      </c>
      <c r="G18" s="44" t="s">
        <v>4</v>
      </c>
      <c r="H18" s="45">
        <v>2024</v>
      </c>
      <c r="I18" s="44" t="s">
        <v>3</v>
      </c>
      <c r="J18" s="46">
        <v>3.21</v>
      </c>
      <c r="K18" s="47">
        <f t="shared" si="0"/>
        <v>7.1090909090909093E-2</v>
      </c>
      <c r="L18" s="103">
        <f t="shared" si="1"/>
        <v>3.2810909090909091</v>
      </c>
      <c r="M18" s="48">
        <v>3910</v>
      </c>
      <c r="N18" s="49">
        <v>55000</v>
      </c>
      <c r="O18" s="49">
        <f t="shared" si="2"/>
        <v>24948</v>
      </c>
      <c r="P18" s="50">
        <v>40</v>
      </c>
      <c r="Q18" s="50">
        <v>1</v>
      </c>
      <c r="R18" s="118" t="s">
        <v>171</v>
      </c>
      <c r="S18" s="146"/>
      <c r="T18" s="36" t="s">
        <v>71</v>
      </c>
      <c r="U18" s="36"/>
      <c r="V18" s="38" t="s">
        <v>68</v>
      </c>
      <c r="W18" s="51" t="s">
        <v>67</v>
      </c>
      <c r="X18" s="62">
        <f>IFERROR(INDEX('GİRİŞ ANALİZİ'!$D:$D, MATCH($W18,'GİRİŞ ANALİZİ'!$B:$B, 0)),"Bulunamadı")</f>
        <v>18</v>
      </c>
      <c r="Y18" s="52">
        <v>45740</v>
      </c>
      <c r="Z18" s="53">
        <v>45793</v>
      </c>
      <c r="AA18" s="54">
        <f t="shared" si="3"/>
        <v>53</v>
      </c>
      <c r="AB18" s="55" t="s">
        <v>98</v>
      </c>
    </row>
    <row r="19" spans="1:28" ht="13.5" customHeight="1" x14ac:dyDescent="0.2">
      <c r="A19" s="42">
        <v>45769</v>
      </c>
      <c r="B19" s="43">
        <v>619479</v>
      </c>
      <c r="C19" s="43" t="s">
        <v>204</v>
      </c>
      <c r="D19" s="97" t="str">
        <f t="shared" si="4"/>
        <v>HW.CASHEW NUT W320____________( 22.68 KG )</v>
      </c>
      <c r="E19" s="36" t="s">
        <v>5</v>
      </c>
      <c r="F19" s="36" t="s">
        <v>20</v>
      </c>
      <c r="G19" s="44" t="s">
        <v>4</v>
      </c>
      <c r="H19" s="45">
        <v>2025</v>
      </c>
      <c r="I19" s="44" t="s">
        <v>3</v>
      </c>
      <c r="J19" s="46">
        <v>3.3</v>
      </c>
      <c r="K19" s="47">
        <f t="shared" si="0"/>
        <v>5.4545454545454543E-2</v>
      </c>
      <c r="L19" s="103">
        <f t="shared" si="1"/>
        <v>3.3545454545454545</v>
      </c>
      <c r="M19" s="48">
        <v>3000</v>
      </c>
      <c r="N19" s="49">
        <v>55000</v>
      </c>
      <c r="O19" s="49">
        <f t="shared" si="2"/>
        <v>24948</v>
      </c>
      <c r="P19" s="50">
        <v>40</v>
      </c>
      <c r="Q19" s="50">
        <v>1</v>
      </c>
      <c r="R19" s="118" t="s">
        <v>170</v>
      </c>
      <c r="S19" s="146"/>
      <c r="T19" s="36" t="s">
        <v>76</v>
      </c>
      <c r="U19" s="36"/>
      <c r="V19" s="38" t="s">
        <v>73</v>
      </c>
      <c r="W19" s="51" t="s">
        <v>332</v>
      </c>
      <c r="X19" s="62">
        <f>IFERROR(INDEX('GİRİŞ ANALİZİ'!$D:$D, MATCH($W19,'GİRİŞ ANALİZİ'!$B:$B, 0)),"Bulunamadı")</f>
        <v>19</v>
      </c>
      <c r="Y19" s="52">
        <v>45779</v>
      </c>
      <c r="Z19" s="53">
        <v>45834</v>
      </c>
      <c r="AA19" s="54">
        <f t="shared" si="3"/>
        <v>55</v>
      </c>
      <c r="AB19" s="55" t="s">
        <v>98</v>
      </c>
    </row>
    <row r="20" spans="1:28" ht="13.5" customHeight="1" x14ac:dyDescent="0.2">
      <c r="A20" s="42">
        <v>45769</v>
      </c>
      <c r="B20" s="43">
        <v>619479</v>
      </c>
      <c r="C20" s="43" t="s">
        <v>208</v>
      </c>
      <c r="D20" s="97" t="str">
        <f t="shared" si="4"/>
        <v>HW.CASHEW NUT W240____________( 22.68 KG )</v>
      </c>
      <c r="E20" s="36" t="s">
        <v>5</v>
      </c>
      <c r="F20" s="36" t="s">
        <v>20</v>
      </c>
      <c r="G20" s="44" t="s">
        <v>19</v>
      </c>
      <c r="H20" s="45">
        <v>2025</v>
      </c>
      <c r="I20" s="44" t="s">
        <v>3</v>
      </c>
      <c r="J20" s="46">
        <v>3.4</v>
      </c>
      <c r="K20" s="47">
        <f t="shared" si="0"/>
        <v>5.4545454545454543E-2</v>
      </c>
      <c r="L20" s="103">
        <f t="shared" si="1"/>
        <v>3.4545454545454546</v>
      </c>
      <c r="M20" s="48">
        <v>3000</v>
      </c>
      <c r="N20" s="49">
        <f>Q20*55000</f>
        <v>55000</v>
      </c>
      <c r="O20" s="49">
        <f t="shared" si="2"/>
        <v>24948</v>
      </c>
      <c r="P20" s="50">
        <v>40</v>
      </c>
      <c r="Q20" s="50">
        <v>1</v>
      </c>
      <c r="R20" s="118" t="s">
        <v>159</v>
      </c>
      <c r="S20" s="146" t="s">
        <v>368</v>
      </c>
      <c r="T20" s="36" t="s">
        <v>78</v>
      </c>
      <c r="U20" s="36"/>
      <c r="V20" s="38" t="s">
        <v>73</v>
      </c>
      <c r="W20" s="51" t="s">
        <v>72</v>
      </c>
      <c r="X20" s="62">
        <f>IFERROR(INDEX('GİRİŞ ANALİZİ'!$D:$D, MATCH($W20,'GİRİŞ ANALİZİ'!$B:$B, 0)),"Bulunamadı")</f>
        <v>20</v>
      </c>
      <c r="Y20" s="52">
        <v>45782</v>
      </c>
      <c r="Z20" s="53">
        <v>45842</v>
      </c>
      <c r="AA20" s="54">
        <f t="shared" si="3"/>
        <v>60</v>
      </c>
      <c r="AB20" s="55" t="s">
        <v>98</v>
      </c>
    </row>
    <row r="21" spans="1:28" ht="13.5" customHeight="1" x14ac:dyDescent="0.2">
      <c r="A21" s="42">
        <v>45769</v>
      </c>
      <c r="B21" s="43">
        <v>619479</v>
      </c>
      <c r="C21" s="43" t="s">
        <v>204</v>
      </c>
      <c r="D21" s="97" t="str">
        <f t="shared" si="4"/>
        <v>HW.CASHEW NUT W320____________( 22.68 KG )</v>
      </c>
      <c r="E21" s="36" t="s">
        <v>5</v>
      </c>
      <c r="F21" s="36" t="s">
        <v>20</v>
      </c>
      <c r="G21" s="44" t="s">
        <v>4</v>
      </c>
      <c r="H21" s="45">
        <v>2025</v>
      </c>
      <c r="I21" s="44" t="s">
        <v>3</v>
      </c>
      <c r="J21" s="46">
        <v>3.3</v>
      </c>
      <c r="K21" s="47">
        <f t="shared" ref="K21" si="5">M21/N21</f>
        <v>6.2727272727272729E-2</v>
      </c>
      <c r="L21" s="103">
        <f t="shared" ref="L21" si="6">K21+J21</f>
        <v>3.3627272727272723</v>
      </c>
      <c r="M21" s="48">
        <v>3450</v>
      </c>
      <c r="N21" s="49">
        <v>55000</v>
      </c>
      <c r="O21" s="49">
        <f t="shared" ref="O21" si="7">N21*0.4536</f>
        <v>24948</v>
      </c>
      <c r="P21" s="50">
        <v>40</v>
      </c>
      <c r="Q21" s="50">
        <v>1</v>
      </c>
      <c r="R21" s="118" t="s">
        <v>119</v>
      </c>
      <c r="S21" s="146" t="s">
        <v>366</v>
      </c>
      <c r="T21" s="36" t="s">
        <v>77</v>
      </c>
      <c r="U21" s="36"/>
      <c r="V21" s="38" t="s">
        <v>73</v>
      </c>
      <c r="W21" s="51" t="s">
        <v>165</v>
      </c>
      <c r="X21" s="62">
        <f>IFERROR(INDEX('GİRİŞ ANALİZİ'!$D:$D, MATCH($W21,'GİRİŞ ANALİZİ'!$B:$B, 0)),"Bulunamadı")</f>
        <v>22</v>
      </c>
      <c r="Y21" s="52">
        <v>45806</v>
      </c>
      <c r="Z21" s="53">
        <v>45862</v>
      </c>
      <c r="AA21" s="54">
        <f t="shared" ref="AA21" si="8">Z21-Y21</f>
        <v>56</v>
      </c>
      <c r="AB21" s="55" t="s">
        <v>98</v>
      </c>
    </row>
    <row r="22" spans="1:28" ht="13.5" customHeight="1" x14ac:dyDescent="0.2">
      <c r="A22" s="42">
        <v>45769</v>
      </c>
      <c r="B22" s="43">
        <v>619479</v>
      </c>
      <c r="C22" s="43" t="s">
        <v>204</v>
      </c>
      <c r="D22" s="97" t="str">
        <f t="shared" si="4"/>
        <v>HW.CASHEW NUT W320____________( 22.68 KG )</v>
      </c>
      <c r="E22" s="36" t="s">
        <v>5</v>
      </c>
      <c r="F22" s="36" t="s">
        <v>20</v>
      </c>
      <c r="G22" s="44" t="s">
        <v>4</v>
      </c>
      <c r="H22" s="45">
        <v>2025</v>
      </c>
      <c r="I22" s="44" t="s">
        <v>3</v>
      </c>
      <c r="J22" s="46">
        <v>3.3</v>
      </c>
      <c r="K22" s="47">
        <f t="shared" si="0"/>
        <v>6.2727272727272729E-2</v>
      </c>
      <c r="L22" s="103">
        <f t="shared" si="1"/>
        <v>3.3627272727272723</v>
      </c>
      <c r="M22" s="48">
        <v>3450</v>
      </c>
      <c r="N22" s="49">
        <v>55000</v>
      </c>
      <c r="O22" s="49">
        <f t="shared" si="2"/>
        <v>24948</v>
      </c>
      <c r="P22" s="50">
        <v>40</v>
      </c>
      <c r="Q22" s="50">
        <v>1</v>
      </c>
      <c r="R22" s="118" t="s">
        <v>120</v>
      </c>
      <c r="S22" s="146" t="s">
        <v>366</v>
      </c>
      <c r="T22" s="36" t="s">
        <v>77</v>
      </c>
      <c r="U22" s="36"/>
      <c r="V22" s="38" t="s">
        <v>73</v>
      </c>
      <c r="W22" s="51" t="s">
        <v>164</v>
      </c>
      <c r="X22" s="62">
        <f>IFERROR(INDEX('GİRİŞ ANALİZİ'!$D:$D, MATCH($W22,'GİRİŞ ANALİZİ'!$B:$B, 0)),"Bulunamadı")</f>
        <v>21</v>
      </c>
      <c r="Y22" s="52">
        <v>45806</v>
      </c>
      <c r="Z22" s="53">
        <v>45862</v>
      </c>
      <c r="AA22" s="54">
        <f t="shared" si="3"/>
        <v>56</v>
      </c>
      <c r="AB22" s="55" t="s">
        <v>98</v>
      </c>
    </row>
    <row r="23" spans="1:28" ht="13.5" customHeight="1" x14ac:dyDescent="0.2">
      <c r="A23" s="42">
        <v>45803</v>
      </c>
      <c r="B23" s="43">
        <v>625591</v>
      </c>
      <c r="C23" s="43" t="s">
        <v>204</v>
      </c>
      <c r="D23" s="97" t="str">
        <f t="shared" si="4"/>
        <v>HW.CASHEW NUT W320____________( 22.68 KG )</v>
      </c>
      <c r="E23" s="36" t="s">
        <v>5</v>
      </c>
      <c r="F23" s="36" t="s">
        <v>20</v>
      </c>
      <c r="G23" s="44" t="s">
        <v>4</v>
      </c>
      <c r="H23" s="45">
        <v>2025</v>
      </c>
      <c r="I23" s="44" t="s">
        <v>3</v>
      </c>
      <c r="J23" s="46">
        <v>3.27</v>
      </c>
      <c r="K23" s="47">
        <f t="shared" si="0"/>
        <v>6.2727272727272729E-2</v>
      </c>
      <c r="L23" s="103">
        <f t="shared" si="1"/>
        <v>3.3327272727272725</v>
      </c>
      <c r="M23" s="48">
        <v>3450</v>
      </c>
      <c r="N23" s="49">
        <f t="shared" ref="N23:N77" si="9">Q23*55000</f>
        <v>55000</v>
      </c>
      <c r="O23" s="49">
        <f t="shared" si="2"/>
        <v>24948</v>
      </c>
      <c r="P23" s="50">
        <v>40</v>
      </c>
      <c r="Q23" s="50">
        <v>1</v>
      </c>
      <c r="R23" s="118" t="s">
        <v>169</v>
      </c>
      <c r="S23" s="146"/>
      <c r="T23" s="36">
        <v>15098281</v>
      </c>
      <c r="U23" s="36" t="s">
        <v>278</v>
      </c>
      <c r="V23" s="38" t="s">
        <v>75</v>
      </c>
      <c r="W23" s="51" t="s">
        <v>163</v>
      </c>
      <c r="X23" s="62">
        <f>IFERROR(INDEX('GİRİŞ ANALİZİ'!$D:$D, MATCH($W23,'GİRİŞ ANALİZİ'!$B:$B, 0)),"Bulunamadı")</f>
        <v>23</v>
      </c>
      <c r="Y23" s="52">
        <v>45817</v>
      </c>
      <c r="Z23" s="53">
        <v>45865</v>
      </c>
      <c r="AA23" s="54">
        <f t="shared" si="3"/>
        <v>48</v>
      </c>
      <c r="AB23" s="55" t="s">
        <v>98</v>
      </c>
    </row>
    <row r="24" spans="1:28" ht="13.5" customHeight="1" x14ac:dyDescent="0.2">
      <c r="A24" s="42">
        <v>45803</v>
      </c>
      <c r="B24" s="43">
        <v>625591</v>
      </c>
      <c r="C24" s="43" t="s">
        <v>204</v>
      </c>
      <c r="D24" s="97" t="str">
        <f t="shared" si="4"/>
        <v>HW.CASHEW NUT W320____________( 22.68 KG )</v>
      </c>
      <c r="E24" s="36" t="s">
        <v>5</v>
      </c>
      <c r="F24" s="36" t="s">
        <v>20</v>
      </c>
      <c r="G24" s="44" t="s">
        <v>4</v>
      </c>
      <c r="H24" s="45">
        <v>2025</v>
      </c>
      <c r="I24" s="44" t="s">
        <v>3</v>
      </c>
      <c r="J24" s="46">
        <v>3.27</v>
      </c>
      <c r="K24" s="47">
        <f t="shared" ref="K24" si="10">M24/N24</f>
        <v>9.2727272727272728E-2</v>
      </c>
      <c r="L24" s="103">
        <f t="shared" ref="L24" si="11">K24+J24</f>
        <v>3.3627272727272728</v>
      </c>
      <c r="M24" s="48">
        <v>5100</v>
      </c>
      <c r="N24" s="49">
        <v>55000</v>
      </c>
      <c r="O24" s="49">
        <f t="shared" ref="O24" si="12">N24*0.4536</f>
        <v>24948</v>
      </c>
      <c r="P24" s="50">
        <v>40</v>
      </c>
      <c r="Q24" s="50">
        <v>1</v>
      </c>
      <c r="R24" s="118" t="s">
        <v>115</v>
      </c>
      <c r="S24" s="146" t="s">
        <v>367</v>
      </c>
      <c r="T24" s="36">
        <v>18717647</v>
      </c>
      <c r="U24" s="36" t="s">
        <v>279</v>
      </c>
      <c r="V24" s="38" t="s">
        <v>75</v>
      </c>
      <c r="W24" s="51" t="s">
        <v>166</v>
      </c>
      <c r="X24" s="62">
        <f>IFERROR(INDEX('GİRİŞ ANALİZİ'!$D:$D, MATCH($W24,'GİRİŞ ANALİZİ'!$B:$B, 0)),"Bulunamadı")</f>
        <v>24</v>
      </c>
      <c r="Y24" s="52">
        <v>45826</v>
      </c>
      <c r="Z24" s="53">
        <v>45872</v>
      </c>
      <c r="AA24" s="54">
        <f t="shared" ref="AA24" si="13">Z24-Y24</f>
        <v>46</v>
      </c>
      <c r="AB24" s="55" t="s">
        <v>98</v>
      </c>
    </row>
    <row r="25" spans="1:28" ht="13.5" customHeight="1" x14ac:dyDescent="0.2">
      <c r="A25" s="42">
        <v>45803</v>
      </c>
      <c r="B25" s="43">
        <v>625591</v>
      </c>
      <c r="C25" s="43" t="s">
        <v>204</v>
      </c>
      <c r="D25" s="97" t="str">
        <f t="shared" si="4"/>
        <v>HW.CASHEW NUT W320____________( 22.68 KG )</v>
      </c>
      <c r="E25" s="36" t="s">
        <v>5</v>
      </c>
      <c r="F25" s="36" t="s">
        <v>20</v>
      </c>
      <c r="G25" s="44" t="s">
        <v>4</v>
      </c>
      <c r="H25" s="45">
        <v>2025</v>
      </c>
      <c r="I25" s="44" t="s">
        <v>3</v>
      </c>
      <c r="J25" s="46">
        <v>3.27</v>
      </c>
      <c r="K25" s="47">
        <f t="shared" si="0"/>
        <v>9.2727272727272728E-2</v>
      </c>
      <c r="L25" s="103">
        <f t="shared" si="1"/>
        <v>3.3627272727272728</v>
      </c>
      <c r="M25" s="48">
        <v>5100</v>
      </c>
      <c r="N25" s="49">
        <v>55000</v>
      </c>
      <c r="O25" s="49">
        <f t="shared" si="2"/>
        <v>24948</v>
      </c>
      <c r="P25" s="50">
        <v>40</v>
      </c>
      <c r="Q25" s="50">
        <v>1</v>
      </c>
      <c r="R25" s="118" t="s">
        <v>116</v>
      </c>
      <c r="S25" s="146" t="s">
        <v>367</v>
      </c>
      <c r="T25" s="36">
        <v>18717647</v>
      </c>
      <c r="U25" s="36" t="s">
        <v>279</v>
      </c>
      <c r="V25" s="38" t="s">
        <v>75</v>
      </c>
      <c r="W25" s="51" t="s">
        <v>167</v>
      </c>
      <c r="X25" s="62">
        <f>IFERROR(INDEX('GİRİŞ ANALİZİ'!$D:$D, MATCH($W25,'GİRİŞ ANALİZİ'!$B:$B, 0)),"Bulunamadı")</f>
        <v>25</v>
      </c>
      <c r="Y25" s="52">
        <v>45826</v>
      </c>
      <c r="Z25" s="53">
        <v>45872</v>
      </c>
      <c r="AA25" s="54">
        <f t="shared" si="3"/>
        <v>46</v>
      </c>
      <c r="AB25" s="55" t="s">
        <v>98</v>
      </c>
    </row>
    <row r="26" spans="1:28" ht="13.5" customHeight="1" x14ac:dyDescent="0.2">
      <c r="A26" s="42">
        <v>45803</v>
      </c>
      <c r="B26" s="43">
        <v>625597</v>
      </c>
      <c r="C26" s="43" t="s">
        <v>204</v>
      </c>
      <c r="D26" s="97" t="str">
        <f t="shared" si="4"/>
        <v>HW.CASHEW NUT W320____________( 22.68 KG )</v>
      </c>
      <c r="E26" s="36" t="s">
        <v>5</v>
      </c>
      <c r="F26" s="36" t="s">
        <v>27</v>
      </c>
      <c r="G26" s="44" t="s">
        <v>4</v>
      </c>
      <c r="H26" s="45">
        <v>2025</v>
      </c>
      <c r="I26" s="44" t="s">
        <v>3</v>
      </c>
      <c r="J26" s="46">
        <v>3.27</v>
      </c>
      <c r="K26" s="47">
        <f t="shared" si="0"/>
        <v>8.727272727272728E-2</v>
      </c>
      <c r="L26" s="103">
        <f t="shared" si="1"/>
        <v>3.3572727272727274</v>
      </c>
      <c r="M26" s="48">
        <v>4800</v>
      </c>
      <c r="N26" s="49">
        <f t="shared" si="9"/>
        <v>55000</v>
      </c>
      <c r="O26" s="49">
        <f t="shared" si="2"/>
        <v>24948</v>
      </c>
      <c r="P26" s="50">
        <v>40</v>
      </c>
      <c r="Q26" s="50">
        <v>1</v>
      </c>
      <c r="R26" s="118" t="s">
        <v>161</v>
      </c>
      <c r="S26" s="146"/>
      <c r="T26" s="36" t="s">
        <v>80</v>
      </c>
      <c r="U26" s="36" t="s">
        <v>240</v>
      </c>
      <c r="V26" s="38" t="s">
        <v>74</v>
      </c>
      <c r="W26" s="51" t="s">
        <v>187</v>
      </c>
      <c r="X26" s="62">
        <f>IFERROR(INDEX('GİRİŞ ANALİZİ'!$D:$D, MATCH($W26,'GİRİŞ ANALİZİ'!$B:$B, 0)),"Bulunamadı")</f>
        <v>26</v>
      </c>
      <c r="Y26" s="52">
        <v>45830</v>
      </c>
      <c r="Z26" s="53">
        <v>45879</v>
      </c>
      <c r="AA26" s="54">
        <f t="shared" si="3"/>
        <v>49</v>
      </c>
      <c r="AB26" s="55" t="s">
        <v>98</v>
      </c>
    </row>
    <row r="27" spans="1:28" ht="13.5" customHeight="1" x14ac:dyDescent="0.2">
      <c r="A27" s="42">
        <v>45803</v>
      </c>
      <c r="B27" s="43">
        <v>625597</v>
      </c>
      <c r="C27" s="43" t="s">
        <v>204</v>
      </c>
      <c r="D27" s="97" t="str">
        <f t="shared" si="4"/>
        <v>HW.CASHEW NUT W320____________( 22.68 KG )</v>
      </c>
      <c r="E27" s="36" t="s">
        <v>5</v>
      </c>
      <c r="F27" s="36" t="s">
        <v>27</v>
      </c>
      <c r="G27" s="44" t="s">
        <v>4</v>
      </c>
      <c r="H27" s="45">
        <v>2025</v>
      </c>
      <c r="I27" s="44" t="s">
        <v>3</v>
      </c>
      <c r="J27" s="46">
        <v>3.27</v>
      </c>
      <c r="K27" s="47">
        <f t="shared" si="0"/>
        <v>7.4909090909090911E-2</v>
      </c>
      <c r="L27" s="103">
        <f t="shared" si="1"/>
        <v>3.3449090909090908</v>
      </c>
      <c r="M27" s="48">
        <v>4120</v>
      </c>
      <c r="N27" s="49">
        <f t="shared" si="9"/>
        <v>55000</v>
      </c>
      <c r="O27" s="49">
        <f t="shared" si="2"/>
        <v>24948</v>
      </c>
      <c r="P27" s="50">
        <v>40</v>
      </c>
      <c r="Q27" s="50">
        <v>1</v>
      </c>
      <c r="R27" s="118" t="s">
        <v>102</v>
      </c>
      <c r="S27" s="146"/>
      <c r="T27" s="36" t="s">
        <v>81</v>
      </c>
      <c r="U27" s="36" t="s">
        <v>241</v>
      </c>
      <c r="V27" s="38" t="s">
        <v>74</v>
      </c>
      <c r="W27" s="51" t="s">
        <v>188</v>
      </c>
      <c r="X27" s="62">
        <f>IFERROR(INDEX('GİRİŞ ANALİZİ'!$D:$D, MATCH($W27,'GİRİŞ ANALİZİ'!$B:$B, 0)),"Bulunamadı")</f>
        <v>28</v>
      </c>
      <c r="Y27" s="52">
        <v>45844</v>
      </c>
      <c r="Z27" s="53">
        <v>45898</v>
      </c>
      <c r="AA27" s="54">
        <f t="shared" si="3"/>
        <v>54</v>
      </c>
      <c r="AB27" s="55" t="s">
        <v>98</v>
      </c>
    </row>
    <row r="28" spans="1:28" ht="13.5" customHeight="1" x14ac:dyDescent="0.2">
      <c r="A28" s="42">
        <v>45803</v>
      </c>
      <c r="B28" s="43">
        <v>625591</v>
      </c>
      <c r="C28" s="43" t="s">
        <v>204</v>
      </c>
      <c r="D28" s="97" t="str">
        <f t="shared" si="4"/>
        <v>HW.CASHEW NUT W320____________( 22.68 KG )</v>
      </c>
      <c r="E28" s="36" t="s">
        <v>5</v>
      </c>
      <c r="F28" s="36" t="s">
        <v>20</v>
      </c>
      <c r="G28" s="44" t="s">
        <v>4</v>
      </c>
      <c r="H28" s="45">
        <v>2025</v>
      </c>
      <c r="I28" s="44" t="s">
        <v>3</v>
      </c>
      <c r="J28" s="46">
        <v>3.25</v>
      </c>
      <c r="K28" s="47">
        <f t="shared" si="0"/>
        <v>7.4909090909090911E-2</v>
      </c>
      <c r="L28" s="103">
        <f t="shared" si="1"/>
        <v>3.3249090909090908</v>
      </c>
      <c r="M28" s="48">
        <v>4120</v>
      </c>
      <c r="N28" s="49">
        <f t="shared" si="9"/>
        <v>55000</v>
      </c>
      <c r="O28" s="49">
        <f t="shared" si="2"/>
        <v>24948</v>
      </c>
      <c r="P28" s="50">
        <v>40</v>
      </c>
      <c r="Q28" s="50">
        <v>1</v>
      </c>
      <c r="R28" s="118" t="s">
        <v>103</v>
      </c>
      <c r="S28" s="146"/>
      <c r="T28" s="36" t="s">
        <v>79</v>
      </c>
      <c r="U28" s="36" t="s">
        <v>242</v>
      </c>
      <c r="V28" s="38" t="s">
        <v>75</v>
      </c>
      <c r="W28" s="51" t="s">
        <v>107</v>
      </c>
      <c r="X28" s="62">
        <f>IFERROR(INDEX('GİRİŞ ANALİZİ'!$D:$D, MATCH($W28,'GİRİŞ ANALİZİ'!$B:$B, 0)),"Bulunamadı")</f>
        <v>27</v>
      </c>
      <c r="Y28" s="52">
        <v>45844</v>
      </c>
      <c r="Z28" s="53">
        <v>45898</v>
      </c>
      <c r="AA28" s="54">
        <f t="shared" si="3"/>
        <v>54</v>
      </c>
      <c r="AB28" s="55" t="s">
        <v>98</v>
      </c>
    </row>
    <row r="29" spans="1:28" ht="13.5" customHeight="1" x14ac:dyDescent="0.2">
      <c r="A29" s="42">
        <v>45803</v>
      </c>
      <c r="B29" s="43">
        <v>625591</v>
      </c>
      <c r="C29" s="43" t="s">
        <v>204</v>
      </c>
      <c r="D29" s="97" t="str">
        <f t="shared" si="4"/>
        <v>HW.CASHEW NUT W320____________( 22.68 KG )</v>
      </c>
      <c r="E29" s="36" t="s">
        <v>5</v>
      </c>
      <c r="F29" s="36" t="s">
        <v>20</v>
      </c>
      <c r="G29" s="44" t="s">
        <v>4</v>
      </c>
      <c r="H29" s="45">
        <v>2025</v>
      </c>
      <c r="I29" s="44" t="s">
        <v>3</v>
      </c>
      <c r="J29" s="46">
        <v>3.25</v>
      </c>
      <c r="K29" s="47">
        <f t="shared" ref="K29" si="14">M29/N29</f>
        <v>7.2727272727272724E-2</v>
      </c>
      <c r="L29" s="103">
        <f t="shared" ref="L29" si="15">K29+J29</f>
        <v>3.3227272727272728</v>
      </c>
      <c r="M29" s="48">
        <v>4000</v>
      </c>
      <c r="N29" s="49">
        <f t="shared" si="9"/>
        <v>55000</v>
      </c>
      <c r="O29" s="49">
        <f t="shared" ref="O29" si="16">N29*0.4536</f>
        <v>24948</v>
      </c>
      <c r="P29" s="50">
        <v>40</v>
      </c>
      <c r="Q29" s="50">
        <v>1</v>
      </c>
      <c r="R29" s="118" t="s">
        <v>111</v>
      </c>
      <c r="S29" s="146"/>
      <c r="T29" s="36" t="s">
        <v>83</v>
      </c>
      <c r="U29" s="36" t="s">
        <v>243</v>
      </c>
      <c r="V29" s="38" t="s">
        <v>75</v>
      </c>
      <c r="W29" s="51" t="s">
        <v>108</v>
      </c>
      <c r="X29" s="62">
        <f>IFERROR(INDEX('GİRİŞ ANALİZİ'!$D:$D, MATCH($W29,'GİRİŞ ANALİZİ'!$B:$B, 0)),"Bulunamadı")</f>
        <v>30</v>
      </c>
      <c r="Y29" s="52">
        <v>45859</v>
      </c>
      <c r="Z29" s="53">
        <v>45911</v>
      </c>
      <c r="AA29" s="54">
        <f t="shared" ref="AA29" si="17">Z29-Y29</f>
        <v>52</v>
      </c>
      <c r="AB29" s="55" t="s">
        <v>98</v>
      </c>
    </row>
    <row r="30" spans="1:28" ht="13.5" customHeight="1" x14ac:dyDescent="0.2">
      <c r="A30" s="42">
        <v>45803</v>
      </c>
      <c r="B30" s="43">
        <v>625591</v>
      </c>
      <c r="C30" s="43" t="s">
        <v>204</v>
      </c>
      <c r="D30" s="97" t="str">
        <f t="shared" si="4"/>
        <v>HW.CASHEW NUT W320____________( 22.68 KG )</v>
      </c>
      <c r="E30" s="36" t="s">
        <v>5</v>
      </c>
      <c r="F30" s="36" t="s">
        <v>20</v>
      </c>
      <c r="G30" s="44" t="s">
        <v>4</v>
      </c>
      <c r="H30" s="45">
        <v>2025</v>
      </c>
      <c r="I30" s="44" t="s">
        <v>3</v>
      </c>
      <c r="J30" s="46">
        <v>3.25</v>
      </c>
      <c r="K30" s="47">
        <f t="shared" si="0"/>
        <v>7.2727272727272724E-2</v>
      </c>
      <c r="L30" s="103">
        <f t="shared" si="1"/>
        <v>3.3227272727272728</v>
      </c>
      <c r="M30" s="48">
        <v>4000</v>
      </c>
      <c r="N30" s="49">
        <f t="shared" si="9"/>
        <v>55000</v>
      </c>
      <c r="O30" s="49">
        <f t="shared" si="2"/>
        <v>24948</v>
      </c>
      <c r="P30" s="50">
        <v>40</v>
      </c>
      <c r="Q30" s="50">
        <v>1</v>
      </c>
      <c r="R30" s="118" t="s">
        <v>112</v>
      </c>
      <c r="S30" s="146"/>
      <c r="T30" s="36" t="s">
        <v>83</v>
      </c>
      <c r="U30" s="36" t="s">
        <v>243</v>
      </c>
      <c r="V30" s="38" t="s">
        <v>75</v>
      </c>
      <c r="W30" s="51" t="s">
        <v>235</v>
      </c>
      <c r="X30" s="62">
        <f>IFERROR(INDEX('GİRİŞ ANALİZİ'!$D:$D, MATCH($W30,'GİRİŞ ANALİZİ'!$B:$B, 0)),"Bulunamadı")</f>
        <v>29</v>
      </c>
      <c r="Y30" s="52">
        <v>45859</v>
      </c>
      <c r="Z30" s="53">
        <v>45911</v>
      </c>
      <c r="AA30" s="54">
        <f t="shared" si="3"/>
        <v>52</v>
      </c>
      <c r="AB30" s="55" t="s">
        <v>98</v>
      </c>
    </row>
    <row r="31" spans="1:28" ht="13.5" customHeight="1" x14ac:dyDescent="0.2">
      <c r="A31" s="42">
        <v>45803</v>
      </c>
      <c r="B31" s="43">
        <v>625591</v>
      </c>
      <c r="C31" s="43" t="s">
        <v>204</v>
      </c>
      <c r="D31" s="97" t="str">
        <f t="shared" si="4"/>
        <v>HW.CASHEW NUT W320____________( 22.68 KG )</v>
      </c>
      <c r="E31" s="36" t="s">
        <v>5</v>
      </c>
      <c r="F31" s="36" t="s">
        <v>20</v>
      </c>
      <c r="G31" s="44" t="s">
        <v>4</v>
      </c>
      <c r="H31" s="45">
        <v>2025</v>
      </c>
      <c r="I31" s="44" t="s">
        <v>3</v>
      </c>
      <c r="J31" s="46">
        <v>3.25</v>
      </c>
      <c r="K31" s="47">
        <f t="shared" ref="K31" si="18">M31/N31</f>
        <v>7.2727272727272724E-2</v>
      </c>
      <c r="L31" s="103">
        <f t="shared" ref="L31" si="19">K31+J31</f>
        <v>3.3227272727272728</v>
      </c>
      <c r="M31" s="48">
        <v>4000</v>
      </c>
      <c r="N31" s="49">
        <f t="shared" si="9"/>
        <v>55000</v>
      </c>
      <c r="O31" s="49">
        <f t="shared" ref="O31" si="20">N31*0.4536</f>
        <v>24948</v>
      </c>
      <c r="P31" s="50">
        <v>40</v>
      </c>
      <c r="Q31" s="50">
        <v>1</v>
      </c>
      <c r="R31" s="118" t="s">
        <v>109</v>
      </c>
      <c r="S31" s="146" t="s">
        <v>379</v>
      </c>
      <c r="T31" s="36" t="s">
        <v>86</v>
      </c>
      <c r="U31" s="36" t="s">
        <v>267</v>
      </c>
      <c r="V31" s="38" t="s">
        <v>75</v>
      </c>
      <c r="W31" s="51" t="s">
        <v>355</v>
      </c>
      <c r="X31" s="62">
        <f>IFERROR(INDEX('GİRİŞ ANALİZİ'!$D:$D, MATCH($W31,'GİRİŞ ANALİZİ'!$B:$B, 0)),"Bulunamadı")</f>
        <v>32</v>
      </c>
      <c r="Y31" s="52">
        <v>45888</v>
      </c>
      <c r="Z31" s="53">
        <v>45934</v>
      </c>
      <c r="AA31" s="54">
        <f t="shared" ref="AA31" si="21">Z31-Y31</f>
        <v>46</v>
      </c>
      <c r="AB31" s="55" t="s">
        <v>98</v>
      </c>
    </row>
    <row r="32" spans="1:28" ht="13.5" customHeight="1" x14ac:dyDescent="0.2">
      <c r="A32" s="42">
        <v>45803</v>
      </c>
      <c r="B32" s="43">
        <v>625591</v>
      </c>
      <c r="C32" s="43" t="s">
        <v>204</v>
      </c>
      <c r="D32" s="97" t="str">
        <f t="shared" si="4"/>
        <v>HW.CASHEW NUT W320____________( 22.68 KG )</v>
      </c>
      <c r="E32" s="36" t="s">
        <v>5</v>
      </c>
      <c r="F32" s="36" t="s">
        <v>20</v>
      </c>
      <c r="G32" s="44" t="s">
        <v>4</v>
      </c>
      <c r="H32" s="45">
        <v>2025</v>
      </c>
      <c r="I32" s="44" t="s">
        <v>3</v>
      </c>
      <c r="J32" s="46">
        <v>3.25</v>
      </c>
      <c r="K32" s="47">
        <f t="shared" si="0"/>
        <v>7.2727272727272724E-2</v>
      </c>
      <c r="L32" s="103">
        <f t="shared" si="1"/>
        <v>3.3227272727272728</v>
      </c>
      <c r="M32" s="48">
        <v>4000</v>
      </c>
      <c r="N32" s="49">
        <f t="shared" si="9"/>
        <v>55000</v>
      </c>
      <c r="O32" s="49">
        <f t="shared" si="2"/>
        <v>24948</v>
      </c>
      <c r="P32" s="50">
        <v>40</v>
      </c>
      <c r="Q32" s="50">
        <v>1</v>
      </c>
      <c r="R32" s="118" t="s">
        <v>110</v>
      </c>
      <c r="S32" s="146" t="s">
        <v>379</v>
      </c>
      <c r="T32" s="36" t="s">
        <v>86</v>
      </c>
      <c r="U32" s="36" t="s">
        <v>267</v>
      </c>
      <c r="V32" s="38" t="s">
        <v>75</v>
      </c>
      <c r="W32" s="51" t="s">
        <v>356</v>
      </c>
      <c r="X32" s="62">
        <f>IFERROR(INDEX('GİRİŞ ANALİZİ'!$D:$D, MATCH($W32,'GİRİŞ ANALİZİ'!$B:$B, 0)),"Bulunamadı")</f>
        <v>31</v>
      </c>
      <c r="Y32" s="52">
        <v>45888</v>
      </c>
      <c r="Z32" s="53">
        <v>45934</v>
      </c>
      <c r="AA32" s="54">
        <f t="shared" si="3"/>
        <v>46</v>
      </c>
      <c r="AB32" s="55" t="s">
        <v>98</v>
      </c>
    </row>
    <row r="33" spans="1:28" ht="13.5" customHeight="1" x14ac:dyDescent="0.2">
      <c r="A33" s="42">
        <v>45803</v>
      </c>
      <c r="B33" s="43">
        <v>625591</v>
      </c>
      <c r="C33" s="43" t="s">
        <v>204</v>
      </c>
      <c r="D33" s="97" t="str">
        <f t="shared" si="4"/>
        <v>HW.CASHEW NUT W320____________( 22.68 KG )</v>
      </c>
      <c r="E33" s="36" t="s">
        <v>5</v>
      </c>
      <c r="F33" s="36" t="s">
        <v>20</v>
      </c>
      <c r="G33" s="44" t="s">
        <v>4</v>
      </c>
      <c r="H33" s="45">
        <v>2025</v>
      </c>
      <c r="I33" s="44" t="s">
        <v>3</v>
      </c>
      <c r="J33" s="46">
        <v>3.25</v>
      </c>
      <c r="K33" s="47">
        <f t="shared" si="0"/>
        <v>7.2727272727272724E-2</v>
      </c>
      <c r="L33" s="103">
        <f t="shared" si="1"/>
        <v>3.3227272727272728</v>
      </c>
      <c r="M33" s="48">
        <v>4000</v>
      </c>
      <c r="N33" s="49">
        <f t="shared" si="9"/>
        <v>55000</v>
      </c>
      <c r="O33" s="49">
        <f t="shared" si="2"/>
        <v>24948</v>
      </c>
      <c r="P33" s="50">
        <v>40</v>
      </c>
      <c r="Q33" s="50">
        <v>1</v>
      </c>
      <c r="R33" s="118" t="s">
        <v>113</v>
      </c>
      <c r="S33" s="146" t="s">
        <v>381</v>
      </c>
      <c r="T33" s="36" t="s">
        <v>87</v>
      </c>
      <c r="U33" s="36" t="s">
        <v>268</v>
      </c>
      <c r="V33" s="38" t="s">
        <v>75</v>
      </c>
      <c r="W33" s="51" t="s">
        <v>357</v>
      </c>
      <c r="X33" s="62">
        <f>IFERROR(INDEX('GİRİŞ ANALİZİ'!$D:$D, MATCH($W33,'GİRİŞ ANALİZİ'!$B:$B, 0)),"Bulunamadı")</f>
        <v>34</v>
      </c>
      <c r="Y33" s="52">
        <v>45894</v>
      </c>
      <c r="Z33" s="53">
        <v>45942</v>
      </c>
      <c r="AA33" s="54">
        <f t="shared" si="3"/>
        <v>48</v>
      </c>
      <c r="AB33" s="55" t="s">
        <v>98</v>
      </c>
    </row>
    <row r="34" spans="1:28" ht="13.5" customHeight="1" x14ac:dyDescent="0.2">
      <c r="A34" s="42">
        <v>45862</v>
      </c>
      <c r="B34" s="43">
        <v>632900</v>
      </c>
      <c r="C34" s="43" t="s">
        <v>204</v>
      </c>
      <c r="D34" s="97" t="str">
        <f t="shared" si="4"/>
        <v>HW.CASHEW NUT W320____________( 22.68 KG )</v>
      </c>
      <c r="E34" s="36" t="s">
        <v>5</v>
      </c>
      <c r="F34" s="36" t="s">
        <v>20</v>
      </c>
      <c r="G34" s="44" t="s">
        <v>4</v>
      </c>
      <c r="H34" s="45">
        <v>2025</v>
      </c>
      <c r="I34" s="44" t="s">
        <v>3</v>
      </c>
      <c r="J34" s="46">
        <v>3.16</v>
      </c>
      <c r="K34" s="47">
        <f t="shared" si="0"/>
        <v>7.2727272727272724E-2</v>
      </c>
      <c r="L34" s="103">
        <f t="shared" si="1"/>
        <v>3.2327272727272729</v>
      </c>
      <c r="M34" s="48">
        <v>4000</v>
      </c>
      <c r="N34" s="49">
        <f t="shared" si="9"/>
        <v>55000</v>
      </c>
      <c r="O34" s="49">
        <f t="shared" si="2"/>
        <v>24948</v>
      </c>
      <c r="P34" s="50">
        <v>40</v>
      </c>
      <c r="Q34" s="50">
        <v>1</v>
      </c>
      <c r="R34" s="118" t="s">
        <v>114</v>
      </c>
      <c r="S34" s="146" t="s">
        <v>380</v>
      </c>
      <c r="T34" s="36" t="s">
        <v>88</v>
      </c>
      <c r="U34" s="36" t="s">
        <v>269</v>
      </c>
      <c r="V34" s="38" t="s">
        <v>85</v>
      </c>
      <c r="W34" s="51" t="s">
        <v>82</v>
      </c>
      <c r="X34" s="62" t="str">
        <f>IFERROR(INDEX('GİRİŞ ANALİZİ'!$D:$D, MATCH($W34,'GİRİŞ ANALİZİ'!$B:$B, 0)),"Bulunamadı")</f>
        <v>Bulunamadı</v>
      </c>
      <c r="Y34" s="52">
        <v>45894</v>
      </c>
      <c r="Z34" s="53">
        <v>45942</v>
      </c>
      <c r="AA34" s="54">
        <f t="shared" si="3"/>
        <v>48</v>
      </c>
      <c r="AB34" s="55" t="s">
        <v>97</v>
      </c>
    </row>
    <row r="35" spans="1:28" ht="13.5" customHeight="1" x14ac:dyDescent="0.2">
      <c r="A35" s="42">
        <v>45803</v>
      </c>
      <c r="B35" s="43">
        <v>625591</v>
      </c>
      <c r="C35" s="43" t="s">
        <v>204</v>
      </c>
      <c r="D35" s="97" t="str">
        <f t="shared" si="4"/>
        <v>HW.CASHEW NUT W320____________( 22.68 KG )</v>
      </c>
      <c r="E35" s="36" t="s">
        <v>5</v>
      </c>
      <c r="F35" s="36" t="s">
        <v>20</v>
      </c>
      <c r="G35" s="44" t="s">
        <v>4</v>
      </c>
      <c r="H35" s="45">
        <v>2025</v>
      </c>
      <c r="I35" s="44" t="s">
        <v>3</v>
      </c>
      <c r="J35" s="46">
        <v>3.25</v>
      </c>
      <c r="K35" s="47">
        <f t="shared" si="0"/>
        <v>7.2727272727272724E-2</v>
      </c>
      <c r="L35" s="103">
        <f t="shared" si="1"/>
        <v>3.3227272727272728</v>
      </c>
      <c r="M35" s="48">
        <v>4000</v>
      </c>
      <c r="N35" s="49">
        <f t="shared" si="9"/>
        <v>55000</v>
      </c>
      <c r="O35" s="49">
        <f t="shared" si="2"/>
        <v>24948</v>
      </c>
      <c r="P35" s="50">
        <v>40</v>
      </c>
      <c r="Q35" s="50">
        <v>1</v>
      </c>
      <c r="R35" s="118" t="s">
        <v>340</v>
      </c>
      <c r="S35" s="146"/>
      <c r="T35" s="36" t="s">
        <v>313</v>
      </c>
      <c r="U35" s="36" t="s">
        <v>289</v>
      </c>
      <c r="V35" s="38" t="s">
        <v>75</v>
      </c>
      <c r="W35" s="51" t="s">
        <v>286</v>
      </c>
      <c r="X35" s="62" t="str">
        <f>IFERROR(INDEX('GİRİŞ ANALİZİ'!$D:$D, MATCH($W35,'GİRİŞ ANALİZİ'!$B:$B, 0)),"Bulunamadı")</f>
        <v>Bulunamadı</v>
      </c>
      <c r="Y35" s="52">
        <v>45935</v>
      </c>
      <c r="Z35" s="53">
        <v>45983</v>
      </c>
      <c r="AA35" s="54">
        <f t="shared" si="3"/>
        <v>48</v>
      </c>
      <c r="AB35" s="55" t="s">
        <v>345</v>
      </c>
    </row>
    <row r="36" spans="1:28" ht="13.5" customHeight="1" x14ac:dyDescent="0.2">
      <c r="A36" s="42">
        <v>45803</v>
      </c>
      <c r="B36" s="43">
        <v>625591</v>
      </c>
      <c r="C36" s="43" t="s">
        <v>204</v>
      </c>
      <c r="D36" s="97" t="str">
        <f t="shared" si="4"/>
        <v>HW.CASHEW NUT W320____________( 22.68 KG )</v>
      </c>
      <c r="E36" s="36" t="s">
        <v>5</v>
      </c>
      <c r="F36" s="36" t="s">
        <v>20</v>
      </c>
      <c r="G36" s="44" t="s">
        <v>4</v>
      </c>
      <c r="H36" s="45">
        <v>2025</v>
      </c>
      <c r="I36" s="44" t="s">
        <v>3</v>
      </c>
      <c r="J36" s="46">
        <v>3.25</v>
      </c>
      <c r="K36" s="47">
        <f t="shared" ref="K36" si="22">M36/N36</f>
        <v>7.2727272727272724E-2</v>
      </c>
      <c r="L36" s="103">
        <f t="shared" ref="L36" si="23">K36+J36</f>
        <v>3.3227272727272728</v>
      </c>
      <c r="M36" s="48">
        <v>4000</v>
      </c>
      <c r="N36" s="49">
        <f t="shared" ref="N36" si="24">Q36*55000</f>
        <v>55000</v>
      </c>
      <c r="O36" s="49">
        <f t="shared" ref="O36" si="25">N36*0.4536</f>
        <v>24948</v>
      </c>
      <c r="P36" s="50">
        <v>40</v>
      </c>
      <c r="Q36" s="50">
        <v>1</v>
      </c>
      <c r="R36" s="118" t="s">
        <v>341</v>
      </c>
      <c r="S36" s="146"/>
      <c r="T36" s="36" t="s">
        <v>313</v>
      </c>
      <c r="U36" s="36" t="s">
        <v>289</v>
      </c>
      <c r="V36" s="38" t="s">
        <v>75</v>
      </c>
      <c r="W36" s="51" t="s">
        <v>287</v>
      </c>
      <c r="X36" s="62" t="str">
        <f>IFERROR(INDEX('GİRİŞ ANALİZİ'!$D:$D, MATCH($W36,'GİRİŞ ANALİZİ'!$B:$B, 0)),"Bulunamadı")</f>
        <v>Bulunamadı</v>
      </c>
      <c r="Y36" s="52">
        <v>45935</v>
      </c>
      <c r="Z36" s="53">
        <v>45983</v>
      </c>
      <c r="AA36" s="54">
        <f t="shared" si="3"/>
        <v>48</v>
      </c>
      <c r="AB36" s="55" t="s">
        <v>345</v>
      </c>
    </row>
    <row r="37" spans="1:28" ht="13.5" customHeight="1" x14ac:dyDescent="0.2">
      <c r="A37" s="42">
        <v>45803</v>
      </c>
      <c r="B37" s="43">
        <v>625591</v>
      </c>
      <c r="C37" s="43" t="s">
        <v>204</v>
      </c>
      <c r="D37" s="97" t="str">
        <f t="shared" si="4"/>
        <v>HW.CASHEW NUT W320____________( 22.68 KG )</v>
      </c>
      <c r="E37" s="36" t="s">
        <v>5</v>
      </c>
      <c r="F37" s="36" t="s">
        <v>20</v>
      </c>
      <c r="G37" s="44" t="s">
        <v>4</v>
      </c>
      <c r="H37" s="45">
        <v>2025</v>
      </c>
      <c r="I37" s="44" t="s">
        <v>3</v>
      </c>
      <c r="J37" s="46">
        <v>3.25</v>
      </c>
      <c r="K37" s="47">
        <f t="shared" si="0"/>
        <v>7.2727272727272724E-2</v>
      </c>
      <c r="L37" s="103">
        <f t="shared" si="1"/>
        <v>3.3227272727272728</v>
      </c>
      <c r="M37" s="48">
        <v>4000</v>
      </c>
      <c r="N37" s="49">
        <f t="shared" si="9"/>
        <v>55000</v>
      </c>
      <c r="O37" s="49">
        <f t="shared" si="2"/>
        <v>24948</v>
      </c>
      <c r="P37" s="50">
        <v>40</v>
      </c>
      <c r="Q37" s="50">
        <v>1</v>
      </c>
      <c r="R37" s="118" t="s">
        <v>339</v>
      </c>
      <c r="S37" s="146"/>
      <c r="T37" s="36" t="s">
        <v>313</v>
      </c>
      <c r="U37" s="36" t="s">
        <v>312</v>
      </c>
      <c r="V37" s="38" t="s">
        <v>75</v>
      </c>
      <c r="W37" s="51" t="s">
        <v>288</v>
      </c>
      <c r="X37" s="62" t="str">
        <f>IFERROR(INDEX('GİRİŞ ANALİZİ'!$D:$D, MATCH($W37,'GİRİŞ ANALİZİ'!$B:$B, 0)),"Bulunamadı")</f>
        <v>Bulunamadı</v>
      </c>
      <c r="Y37" s="52">
        <v>45935</v>
      </c>
      <c r="Z37" s="53">
        <v>45983</v>
      </c>
      <c r="AA37" s="54">
        <f t="shared" si="3"/>
        <v>48</v>
      </c>
      <c r="AB37" s="55" t="s">
        <v>345</v>
      </c>
    </row>
    <row r="38" spans="1:28" ht="13.5" customHeight="1" x14ac:dyDescent="0.2">
      <c r="A38" s="42">
        <v>45902</v>
      </c>
      <c r="B38" s="43">
        <v>637501</v>
      </c>
      <c r="C38" s="43" t="s">
        <v>204</v>
      </c>
      <c r="D38" s="97" t="str">
        <f t="shared" si="4"/>
        <v>HW.CASHEW NUT W320____________( 22.68 KG )</v>
      </c>
      <c r="E38" s="36" t="s">
        <v>5</v>
      </c>
      <c r="F38" s="36" t="s">
        <v>25</v>
      </c>
      <c r="G38" s="44" t="s">
        <v>4</v>
      </c>
      <c r="H38" s="45">
        <v>2025</v>
      </c>
      <c r="I38" s="44" t="s">
        <v>3</v>
      </c>
      <c r="J38" s="46">
        <v>3.12</v>
      </c>
      <c r="K38" s="47">
        <f t="shared" ref="K38:K77" si="26">M38/55000</f>
        <v>7.2727272727272724E-2</v>
      </c>
      <c r="L38" s="103">
        <f t="shared" ref="L38:L77" si="27">J38+K38</f>
        <v>3.1927272727272729</v>
      </c>
      <c r="M38" s="48">
        <v>4000</v>
      </c>
      <c r="N38" s="49">
        <f t="shared" si="9"/>
        <v>55000</v>
      </c>
      <c r="O38" s="49">
        <f t="shared" ref="O38:O77" si="28">N38*0.4536</f>
        <v>24948</v>
      </c>
      <c r="P38" s="50">
        <v>40</v>
      </c>
      <c r="Q38" s="50">
        <v>1</v>
      </c>
      <c r="R38" s="118" t="s">
        <v>100</v>
      </c>
      <c r="S38" s="146" t="s">
        <v>386</v>
      </c>
      <c r="T38" s="36" t="s">
        <v>94</v>
      </c>
      <c r="U38" s="36" t="s">
        <v>222</v>
      </c>
      <c r="V38" s="38" t="s">
        <v>148</v>
      </c>
      <c r="W38" s="51" t="s">
        <v>101</v>
      </c>
      <c r="X38" s="62">
        <f>IFERROR(INDEX('GİRİŞ ANALİZİ'!$D:$D, MATCH($W38,'GİRİŞ ANALİZİ'!$B:$B, 0)),"Bulunamadı")</f>
        <v>35</v>
      </c>
      <c r="Y38" s="52">
        <v>45908</v>
      </c>
      <c r="Z38" s="53">
        <v>45954</v>
      </c>
      <c r="AA38" s="54">
        <f t="shared" si="3"/>
        <v>46</v>
      </c>
      <c r="AB38" s="55" t="s">
        <v>98</v>
      </c>
    </row>
    <row r="39" spans="1:28" ht="13.5" customHeight="1" x14ac:dyDescent="0.2">
      <c r="A39" s="42">
        <v>45902</v>
      </c>
      <c r="B39" s="43">
        <v>637501</v>
      </c>
      <c r="C39" s="43" t="s">
        <v>204</v>
      </c>
      <c r="D39" s="97" t="str">
        <f t="shared" si="4"/>
        <v>HW.CASHEW NUT W320____________( 22.68 KG )</v>
      </c>
      <c r="E39" s="36" t="s">
        <v>5</v>
      </c>
      <c r="F39" s="36" t="s">
        <v>25</v>
      </c>
      <c r="G39" s="44" t="s">
        <v>4</v>
      </c>
      <c r="H39" s="45">
        <v>2025</v>
      </c>
      <c r="I39" s="44" t="s">
        <v>3</v>
      </c>
      <c r="J39" s="46">
        <v>3.12</v>
      </c>
      <c r="K39" s="47">
        <f t="shared" si="26"/>
        <v>7.2727272727272724E-2</v>
      </c>
      <c r="L39" s="103">
        <f t="shared" si="27"/>
        <v>3.1927272727272729</v>
      </c>
      <c r="M39" s="48">
        <v>4000</v>
      </c>
      <c r="N39" s="49">
        <f t="shared" si="9"/>
        <v>55000</v>
      </c>
      <c r="O39" s="49">
        <f t="shared" si="28"/>
        <v>24948</v>
      </c>
      <c r="P39" s="50">
        <v>40</v>
      </c>
      <c r="Q39" s="50">
        <v>1</v>
      </c>
      <c r="R39" s="118" t="s">
        <v>210</v>
      </c>
      <c r="S39" s="146" t="s">
        <v>409</v>
      </c>
      <c r="T39" s="36" t="s">
        <v>150</v>
      </c>
      <c r="U39" s="36" t="s">
        <v>223</v>
      </c>
      <c r="V39" s="38" t="s">
        <v>148</v>
      </c>
      <c r="W39" s="51" t="s">
        <v>149</v>
      </c>
      <c r="X39" s="62" t="str">
        <f>IFERROR(INDEX('GİRİŞ ANALİZİ'!$D:$D, MATCH($W39,'GİRİŞ ANALİZİ'!$B:$B, 0)),"Bulunamadı")</f>
        <v>Bulunamadı</v>
      </c>
      <c r="Y39" s="52">
        <v>45916</v>
      </c>
      <c r="Z39" s="53">
        <v>45975</v>
      </c>
      <c r="AA39" s="54">
        <f t="shared" ref="AA39:AA52" si="29">+Z39-Y39</f>
        <v>59</v>
      </c>
      <c r="AB39" s="55" t="s">
        <v>97</v>
      </c>
    </row>
    <row r="40" spans="1:28" ht="13.5" customHeight="1" x14ac:dyDescent="0.2">
      <c r="A40" s="42">
        <v>45902</v>
      </c>
      <c r="B40" s="43">
        <v>637503</v>
      </c>
      <c r="C40" s="43" t="s">
        <v>204</v>
      </c>
      <c r="D40" s="97" t="str">
        <f t="shared" si="4"/>
        <v>HW.CASHEW NUT W320____________( 22.68 KG )</v>
      </c>
      <c r="E40" s="36" t="s">
        <v>5</v>
      </c>
      <c r="F40" s="36" t="s">
        <v>27</v>
      </c>
      <c r="G40" s="44" t="s">
        <v>4</v>
      </c>
      <c r="H40" s="45">
        <v>2025</v>
      </c>
      <c r="I40" s="44" t="s">
        <v>3</v>
      </c>
      <c r="J40" s="46">
        <v>3.15</v>
      </c>
      <c r="K40" s="47">
        <f t="shared" ref="K40" si="30">M40/55000</f>
        <v>7.2727272727272724E-2</v>
      </c>
      <c r="L40" s="103">
        <f t="shared" ref="L40" si="31">J40+K40</f>
        <v>3.2227272727272727</v>
      </c>
      <c r="M40" s="48">
        <v>4000</v>
      </c>
      <c r="N40" s="49">
        <f t="shared" ref="N40" si="32">Q40*55000</f>
        <v>55000</v>
      </c>
      <c r="O40" s="49">
        <f t="shared" ref="O40" si="33">N40*0.4536</f>
        <v>24948</v>
      </c>
      <c r="P40" s="50">
        <v>40</v>
      </c>
      <c r="Q40" s="50">
        <v>1</v>
      </c>
      <c r="R40" s="118" t="s">
        <v>329</v>
      </c>
      <c r="S40" s="146"/>
      <c r="T40" s="36" t="s">
        <v>239</v>
      </c>
      <c r="U40" s="36" t="s">
        <v>238</v>
      </c>
      <c r="V40" s="38" t="s">
        <v>143</v>
      </c>
      <c r="W40" s="51" t="s">
        <v>236</v>
      </c>
      <c r="X40" s="62" t="str">
        <f>IFERROR(INDEX('GİRİŞ ANALİZİ'!$D:$D, MATCH($W40,'GİRİŞ ANALİZİ'!$B:$B, 0)),"Bulunamadı")</f>
        <v>Bulunamadı</v>
      </c>
      <c r="Y40" s="52">
        <v>45935</v>
      </c>
      <c r="Z40" s="53">
        <v>45984</v>
      </c>
      <c r="AA40" s="54">
        <f t="shared" ref="AA40" si="34">+Z40-Y40</f>
        <v>49</v>
      </c>
      <c r="AB40" s="55" t="s">
        <v>345</v>
      </c>
    </row>
    <row r="41" spans="1:28" ht="13.5" customHeight="1" x14ac:dyDescent="0.2">
      <c r="A41" s="42">
        <v>45902</v>
      </c>
      <c r="B41" s="43">
        <v>637503</v>
      </c>
      <c r="C41" s="43" t="s">
        <v>204</v>
      </c>
      <c r="D41" s="97" t="str">
        <f t="shared" si="4"/>
        <v>HW.CASHEW NUT W320____________( 22.68 KG )</v>
      </c>
      <c r="E41" s="36" t="s">
        <v>5</v>
      </c>
      <c r="F41" s="36" t="s">
        <v>27</v>
      </c>
      <c r="G41" s="44" t="s">
        <v>4</v>
      </c>
      <c r="H41" s="45">
        <v>2025</v>
      </c>
      <c r="I41" s="44" t="s">
        <v>3</v>
      </c>
      <c r="J41" s="46">
        <v>3.15</v>
      </c>
      <c r="K41" s="47">
        <f t="shared" si="26"/>
        <v>7.2727272727272724E-2</v>
      </c>
      <c r="L41" s="103">
        <f t="shared" si="27"/>
        <v>3.2227272727272727</v>
      </c>
      <c r="M41" s="48">
        <v>4000</v>
      </c>
      <c r="N41" s="49">
        <f t="shared" si="9"/>
        <v>55000</v>
      </c>
      <c r="O41" s="49">
        <f t="shared" si="28"/>
        <v>24948</v>
      </c>
      <c r="P41" s="50">
        <v>40</v>
      </c>
      <c r="Q41" s="50">
        <v>1</v>
      </c>
      <c r="R41" s="118" t="s">
        <v>330</v>
      </c>
      <c r="S41" s="146"/>
      <c r="T41" s="36" t="s">
        <v>239</v>
      </c>
      <c r="U41" s="36" t="s">
        <v>238</v>
      </c>
      <c r="V41" s="38" t="s">
        <v>143</v>
      </c>
      <c r="W41" s="51" t="s">
        <v>237</v>
      </c>
      <c r="X41" s="62" t="str">
        <f>IFERROR(INDEX('GİRİŞ ANALİZİ'!$D:$D, MATCH($W41,'GİRİŞ ANALİZİ'!$B:$B, 0)),"Bulunamadı")</f>
        <v>Bulunamadı</v>
      </c>
      <c r="Y41" s="52">
        <v>45935</v>
      </c>
      <c r="Z41" s="53">
        <v>45984</v>
      </c>
      <c r="AA41" s="54">
        <f t="shared" si="29"/>
        <v>49</v>
      </c>
      <c r="AB41" s="55" t="s">
        <v>345</v>
      </c>
    </row>
    <row r="42" spans="1:28" ht="13.5" customHeight="1" x14ac:dyDescent="0.2">
      <c r="A42" s="42">
        <v>45902</v>
      </c>
      <c r="B42" s="43">
        <v>637504</v>
      </c>
      <c r="C42" s="43" t="s">
        <v>204</v>
      </c>
      <c r="D42" s="97" t="str">
        <f t="shared" si="4"/>
        <v>HW.CASHEW NUT W320____________( 22.68 KG )</v>
      </c>
      <c r="E42" s="36" t="s">
        <v>5</v>
      </c>
      <c r="F42" s="36" t="s">
        <v>18</v>
      </c>
      <c r="G42" s="44" t="s">
        <v>4</v>
      </c>
      <c r="H42" s="45">
        <v>2025</v>
      </c>
      <c r="I42" s="44" t="s">
        <v>3</v>
      </c>
      <c r="J42" s="46">
        <v>3.15</v>
      </c>
      <c r="K42" s="47">
        <f t="shared" si="26"/>
        <v>4.2727272727272725E-2</v>
      </c>
      <c r="L42" s="103">
        <f t="shared" si="27"/>
        <v>3.1927272727272724</v>
      </c>
      <c r="M42" s="48">
        <v>2350</v>
      </c>
      <c r="N42" s="49">
        <f t="shared" si="9"/>
        <v>55000</v>
      </c>
      <c r="O42" s="49">
        <f t="shared" si="28"/>
        <v>24948</v>
      </c>
      <c r="P42" s="50">
        <v>40</v>
      </c>
      <c r="Q42" s="50">
        <v>1</v>
      </c>
      <c r="R42" s="118" t="s">
        <v>351</v>
      </c>
      <c r="S42" s="146"/>
      <c r="T42" s="36" t="s">
        <v>334</v>
      </c>
      <c r="U42" s="36" t="s">
        <v>333</v>
      </c>
      <c r="V42" s="38" t="s">
        <v>144</v>
      </c>
      <c r="W42" s="51" t="s">
        <v>89</v>
      </c>
      <c r="X42" s="62" t="str">
        <f>IFERROR(INDEX('GİRİŞ ANALİZİ'!$D:$D, MATCH($W42,'GİRİŞ ANALİZİ'!$B:$B, 0)),"Bulunamadı")</f>
        <v>Bulunamadı</v>
      </c>
      <c r="Y42" s="52">
        <v>45944</v>
      </c>
      <c r="Z42" s="53">
        <v>45995</v>
      </c>
      <c r="AA42" s="54">
        <f t="shared" si="29"/>
        <v>51</v>
      </c>
      <c r="AB42" s="55" t="s">
        <v>96</v>
      </c>
    </row>
    <row r="43" spans="1:28" ht="13.5" customHeight="1" x14ac:dyDescent="0.2">
      <c r="A43" s="42">
        <v>45902</v>
      </c>
      <c r="B43" s="43">
        <v>637507</v>
      </c>
      <c r="C43" s="43" t="s">
        <v>204</v>
      </c>
      <c r="D43" s="97" t="str">
        <f t="shared" si="4"/>
        <v>HW.CASHEW NUT W320____________( 22.68 KG )</v>
      </c>
      <c r="E43" s="36" t="s">
        <v>5</v>
      </c>
      <c r="F43" s="36" t="s">
        <v>26</v>
      </c>
      <c r="G43" s="44" t="s">
        <v>4</v>
      </c>
      <c r="H43" s="45">
        <v>2025</v>
      </c>
      <c r="I43" s="44" t="s">
        <v>3</v>
      </c>
      <c r="J43" s="46">
        <v>3.15</v>
      </c>
      <c r="K43" s="47">
        <f t="shared" ref="K43" si="35">M43/55000</f>
        <v>7.2727272727272724E-2</v>
      </c>
      <c r="L43" s="103">
        <f t="shared" ref="L43" si="36">J43+K43</f>
        <v>3.2227272727272727</v>
      </c>
      <c r="M43" s="48">
        <v>4000</v>
      </c>
      <c r="N43" s="49">
        <f t="shared" ref="N43" si="37">Q43*55000</f>
        <v>55000</v>
      </c>
      <c r="O43" s="49">
        <f t="shared" ref="O43" si="38">N43*0.4536</f>
        <v>24948</v>
      </c>
      <c r="P43" s="50">
        <v>40</v>
      </c>
      <c r="Q43" s="50">
        <v>1</v>
      </c>
      <c r="R43" s="118" t="s">
        <v>275</v>
      </c>
      <c r="S43" s="146" t="s">
        <v>408</v>
      </c>
      <c r="T43" s="36" t="s">
        <v>274</v>
      </c>
      <c r="U43" s="36" t="s">
        <v>276</v>
      </c>
      <c r="V43" s="38" t="s">
        <v>145</v>
      </c>
      <c r="W43" s="51" t="s">
        <v>270</v>
      </c>
      <c r="X43" s="62" t="str">
        <f>IFERROR(INDEX('GİRİŞ ANALİZİ'!$D:$D, MATCH($W43,'GİRİŞ ANALİZİ'!$B:$B, 0)),"Bulunamadı")</f>
        <v>Bulunamadı</v>
      </c>
      <c r="Y43" s="52">
        <v>45923</v>
      </c>
      <c r="Z43" s="53">
        <v>45975</v>
      </c>
      <c r="AA43" s="54">
        <f t="shared" ref="AA43" si="39">+Z43-Y43</f>
        <v>52</v>
      </c>
      <c r="AB43" s="55" t="s">
        <v>97</v>
      </c>
    </row>
    <row r="44" spans="1:28" ht="13.5" customHeight="1" x14ac:dyDescent="0.2">
      <c r="A44" s="42">
        <v>45902</v>
      </c>
      <c r="B44" s="43">
        <v>637507</v>
      </c>
      <c r="C44" s="43" t="s">
        <v>204</v>
      </c>
      <c r="D44" s="97" t="str">
        <f t="shared" si="4"/>
        <v>HW.CASHEW NUT W320____________( 22.68 KG )</v>
      </c>
      <c r="E44" s="36" t="s">
        <v>5</v>
      </c>
      <c r="F44" s="36" t="s">
        <v>26</v>
      </c>
      <c r="G44" s="44" t="s">
        <v>4</v>
      </c>
      <c r="H44" s="45">
        <v>2025</v>
      </c>
      <c r="I44" s="44" t="s">
        <v>3</v>
      </c>
      <c r="J44" s="46">
        <v>3.15</v>
      </c>
      <c r="K44" s="47">
        <f t="shared" si="26"/>
        <v>7.2727272727272724E-2</v>
      </c>
      <c r="L44" s="103">
        <f t="shared" si="27"/>
        <v>3.2227272727272727</v>
      </c>
      <c r="M44" s="48">
        <v>4000</v>
      </c>
      <c r="N44" s="49">
        <f t="shared" si="9"/>
        <v>55000</v>
      </c>
      <c r="O44" s="49">
        <f t="shared" si="28"/>
        <v>24948</v>
      </c>
      <c r="P44" s="50">
        <v>40</v>
      </c>
      <c r="Q44" s="50">
        <v>1</v>
      </c>
      <c r="R44" s="118" t="s">
        <v>273</v>
      </c>
      <c r="S44" s="146" t="s">
        <v>407</v>
      </c>
      <c r="T44" s="36" t="s">
        <v>272</v>
      </c>
      <c r="U44" s="36" t="s">
        <v>277</v>
      </c>
      <c r="V44" s="38" t="s">
        <v>145</v>
      </c>
      <c r="W44" s="51" t="s">
        <v>271</v>
      </c>
      <c r="X44" s="62" t="str">
        <f>IFERROR(INDEX('GİRİŞ ANALİZİ'!$D:$D, MATCH($W44,'GİRİŞ ANALİZİ'!$B:$B, 0)),"Bulunamadı")</f>
        <v>Bulunamadı</v>
      </c>
      <c r="Y44" s="52">
        <v>45923</v>
      </c>
      <c r="Z44" s="53">
        <v>45975</v>
      </c>
      <c r="AA44" s="54">
        <f t="shared" si="29"/>
        <v>52</v>
      </c>
      <c r="AB44" s="55" t="s">
        <v>97</v>
      </c>
    </row>
    <row r="45" spans="1:28" ht="13.5" customHeight="1" x14ac:dyDescent="0.2">
      <c r="A45" s="42">
        <v>45902</v>
      </c>
      <c r="B45" s="43">
        <v>637509</v>
      </c>
      <c r="C45" s="43" t="s">
        <v>204</v>
      </c>
      <c r="D45" s="97" t="str">
        <f t="shared" si="4"/>
        <v>HW.CASHEW NUT W320____________( 22.68 KG )</v>
      </c>
      <c r="E45" s="36" t="s">
        <v>5</v>
      </c>
      <c r="F45" s="36" t="s">
        <v>27</v>
      </c>
      <c r="G45" s="44" t="s">
        <v>4</v>
      </c>
      <c r="H45" s="45">
        <v>2025</v>
      </c>
      <c r="I45" s="44" t="s">
        <v>3</v>
      </c>
      <c r="J45" s="46">
        <v>3.15</v>
      </c>
      <c r="K45" s="47">
        <f t="shared" ref="K45" si="40">M45/55000</f>
        <v>7.2727272727272724E-2</v>
      </c>
      <c r="L45" s="103">
        <f t="shared" ref="L45" si="41">J45+K45</f>
        <v>3.2227272727272727</v>
      </c>
      <c r="M45" s="48">
        <v>4000</v>
      </c>
      <c r="N45" s="49">
        <f t="shared" ref="N45" si="42">Q45*55000</f>
        <v>55000</v>
      </c>
      <c r="O45" s="49">
        <f t="shared" ref="O45" si="43">N45*0.4536</f>
        <v>24948</v>
      </c>
      <c r="P45" s="50">
        <v>40</v>
      </c>
      <c r="Q45" s="50">
        <v>1</v>
      </c>
      <c r="R45" s="118" t="s">
        <v>283</v>
      </c>
      <c r="S45" s="146"/>
      <c r="T45" s="36" t="s">
        <v>285</v>
      </c>
      <c r="U45" s="36" t="s">
        <v>280</v>
      </c>
      <c r="V45" s="38" t="s">
        <v>146</v>
      </c>
      <c r="W45" s="51" t="s">
        <v>281</v>
      </c>
      <c r="X45" s="62" t="str">
        <f>IFERROR(INDEX('GİRİŞ ANALİZİ'!$D:$D, MATCH($W45,'GİRİŞ ANALİZİ'!$B:$B, 0)),"Bulunamadı")</f>
        <v>Bulunamadı</v>
      </c>
      <c r="Y45" s="52">
        <v>45923</v>
      </c>
      <c r="Z45" s="53">
        <v>45975</v>
      </c>
      <c r="AA45" s="54">
        <f t="shared" ref="AA45" si="44">+Z45-Y45</f>
        <v>52</v>
      </c>
      <c r="AB45" s="55" t="s">
        <v>97</v>
      </c>
    </row>
    <row r="46" spans="1:28" ht="13.5" customHeight="1" x14ac:dyDescent="0.2">
      <c r="A46" s="42">
        <v>45902</v>
      </c>
      <c r="B46" s="43">
        <v>637509</v>
      </c>
      <c r="C46" s="43" t="s">
        <v>204</v>
      </c>
      <c r="D46" s="97" t="str">
        <f t="shared" si="4"/>
        <v>HW.CASHEW NUT W320____________( 22.68 KG )</v>
      </c>
      <c r="E46" s="36" t="s">
        <v>5</v>
      </c>
      <c r="F46" s="36" t="s">
        <v>27</v>
      </c>
      <c r="G46" s="44" t="s">
        <v>4</v>
      </c>
      <c r="H46" s="45">
        <v>2025</v>
      </c>
      <c r="I46" s="44" t="s">
        <v>3</v>
      </c>
      <c r="J46" s="46">
        <v>3.15</v>
      </c>
      <c r="K46" s="47">
        <f t="shared" si="26"/>
        <v>7.2727272727272724E-2</v>
      </c>
      <c r="L46" s="103">
        <f t="shared" si="27"/>
        <v>3.2227272727272727</v>
      </c>
      <c r="M46" s="48">
        <v>4000</v>
      </c>
      <c r="N46" s="49">
        <f t="shared" si="9"/>
        <v>55000</v>
      </c>
      <c r="O46" s="49">
        <f t="shared" si="28"/>
        <v>24948</v>
      </c>
      <c r="P46" s="50">
        <v>40</v>
      </c>
      <c r="Q46" s="50">
        <v>1</v>
      </c>
      <c r="R46" s="118" t="s">
        <v>284</v>
      </c>
      <c r="S46" s="146" t="s">
        <v>405</v>
      </c>
      <c r="T46" s="36" t="s">
        <v>285</v>
      </c>
      <c r="U46" s="36" t="s">
        <v>280</v>
      </c>
      <c r="V46" s="38" t="s">
        <v>146</v>
      </c>
      <c r="W46" s="51" t="s">
        <v>282</v>
      </c>
      <c r="X46" s="62" t="str">
        <f>IFERROR(INDEX('GİRİŞ ANALİZİ'!$D:$D, MATCH($W46,'GİRİŞ ANALİZİ'!$B:$B, 0)),"Bulunamadı")</f>
        <v>Bulunamadı</v>
      </c>
      <c r="Y46" s="52">
        <v>45923</v>
      </c>
      <c r="Z46" s="53">
        <v>45975</v>
      </c>
      <c r="AA46" s="54">
        <f t="shared" si="29"/>
        <v>52</v>
      </c>
      <c r="AB46" s="55" t="s">
        <v>97</v>
      </c>
    </row>
    <row r="47" spans="1:28" ht="13.5" customHeight="1" x14ac:dyDescent="0.2">
      <c r="A47" s="42">
        <v>45902</v>
      </c>
      <c r="B47" s="43">
        <v>637510</v>
      </c>
      <c r="C47" s="43" t="s">
        <v>204</v>
      </c>
      <c r="D47" s="97" t="str">
        <f t="shared" si="4"/>
        <v>HW.CASHEW NUT W320____________( 22.68 KG )</v>
      </c>
      <c r="E47" s="36" t="s">
        <v>5</v>
      </c>
      <c r="F47" s="36" t="s">
        <v>25</v>
      </c>
      <c r="G47" s="44" t="s">
        <v>4</v>
      </c>
      <c r="H47" s="45">
        <v>2025</v>
      </c>
      <c r="I47" s="44" t="s">
        <v>3</v>
      </c>
      <c r="J47" s="46">
        <v>3.15</v>
      </c>
      <c r="K47" s="47">
        <f t="shared" si="26"/>
        <v>7.2727272727272724E-2</v>
      </c>
      <c r="L47" s="103">
        <f t="shared" si="27"/>
        <v>3.2227272727272727</v>
      </c>
      <c r="M47" s="48">
        <v>4000</v>
      </c>
      <c r="N47" s="49">
        <f t="shared" si="9"/>
        <v>55000</v>
      </c>
      <c r="O47" s="49">
        <f t="shared" si="28"/>
        <v>24948</v>
      </c>
      <c r="P47" s="50">
        <v>40</v>
      </c>
      <c r="Q47" s="50">
        <v>1</v>
      </c>
      <c r="R47" s="118" t="s">
        <v>291</v>
      </c>
      <c r="S47" s="146" t="s">
        <v>410</v>
      </c>
      <c r="T47" s="36" t="s">
        <v>226</v>
      </c>
      <c r="U47" s="36" t="s">
        <v>225</v>
      </c>
      <c r="V47" s="38" t="s">
        <v>147</v>
      </c>
      <c r="W47" s="51" t="s">
        <v>90</v>
      </c>
      <c r="X47" s="62" t="str">
        <f>IFERROR(INDEX('GİRİŞ ANALİZİ'!$D:$D, MATCH($W47,'GİRİŞ ANALİZİ'!$B:$B, 0)),"Bulunamadı")</f>
        <v>Bulunamadı</v>
      </c>
      <c r="Y47" s="52">
        <v>45922</v>
      </c>
      <c r="Z47" s="53">
        <v>45975</v>
      </c>
      <c r="AA47" s="54">
        <f t="shared" si="29"/>
        <v>53</v>
      </c>
      <c r="AB47" s="55" t="s">
        <v>97</v>
      </c>
    </row>
    <row r="48" spans="1:28" ht="13.5" customHeight="1" x14ac:dyDescent="0.2">
      <c r="A48" s="42">
        <v>45904</v>
      </c>
      <c r="B48" s="43">
        <v>637850</v>
      </c>
      <c r="C48" s="43" t="s">
        <v>204</v>
      </c>
      <c r="D48" s="97" t="str">
        <f t="shared" si="4"/>
        <v>HW.CASHEW NUT W320____________( 22.68 KG )</v>
      </c>
      <c r="E48" s="36" t="s">
        <v>5</v>
      </c>
      <c r="F48" s="36" t="s">
        <v>20</v>
      </c>
      <c r="G48" s="44" t="s">
        <v>4</v>
      </c>
      <c r="H48" s="45">
        <v>2025</v>
      </c>
      <c r="I48" s="44" t="s">
        <v>3</v>
      </c>
      <c r="J48" s="46">
        <v>3.14</v>
      </c>
      <c r="K48" s="47">
        <f t="shared" ref="K48" si="45">M48/55000</f>
        <v>7.2727272727272724E-2</v>
      </c>
      <c r="L48" s="103">
        <f t="shared" ref="L48" si="46">J48+K48</f>
        <v>3.2127272727272729</v>
      </c>
      <c r="M48" s="48">
        <v>4000</v>
      </c>
      <c r="N48" s="49">
        <f t="shared" ref="N48" si="47">Q48*55000</f>
        <v>55000</v>
      </c>
      <c r="O48" s="49">
        <f t="shared" ref="O48" si="48">N48*0.4536</f>
        <v>24948</v>
      </c>
      <c r="P48" s="50">
        <v>40</v>
      </c>
      <c r="Q48" s="50">
        <v>1</v>
      </c>
      <c r="R48" s="118" t="s">
        <v>336</v>
      </c>
      <c r="S48" s="146"/>
      <c r="T48" s="36" t="s">
        <v>335</v>
      </c>
      <c r="U48" s="36" t="s">
        <v>338</v>
      </c>
      <c r="V48" s="38" t="s">
        <v>121</v>
      </c>
      <c r="W48" s="51" t="s">
        <v>416</v>
      </c>
      <c r="X48" s="62" t="str">
        <f>IFERROR(INDEX('GİRİŞ ANALİZİ'!$D:$D, MATCH($W48,'GİRİŞ ANALİZİ'!$B:$B, 0)),"Bulunamadı")</f>
        <v>Bulunamadı</v>
      </c>
      <c r="Y48" s="52">
        <v>45915</v>
      </c>
      <c r="Z48" s="53">
        <v>45975</v>
      </c>
      <c r="AA48" s="54">
        <f t="shared" ref="AA48" si="49">+Z48-Y48</f>
        <v>60</v>
      </c>
      <c r="AB48" s="55" t="s">
        <v>345</v>
      </c>
    </row>
    <row r="49" spans="1:28" ht="13.5" customHeight="1" x14ac:dyDescent="0.2">
      <c r="A49" s="42">
        <v>45904</v>
      </c>
      <c r="B49" s="43">
        <v>637850</v>
      </c>
      <c r="C49" s="43" t="s">
        <v>204</v>
      </c>
      <c r="D49" s="97" t="str">
        <f t="shared" si="4"/>
        <v>HW.CASHEW NUT W320____________( 22.68 KG )</v>
      </c>
      <c r="E49" s="36" t="s">
        <v>5</v>
      </c>
      <c r="F49" s="36" t="s">
        <v>20</v>
      </c>
      <c r="G49" s="44" t="s">
        <v>4</v>
      </c>
      <c r="H49" s="45">
        <v>2025</v>
      </c>
      <c r="I49" s="44" t="s">
        <v>3</v>
      </c>
      <c r="J49" s="46">
        <v>3.14</v>
      </c>
      <c r="K49" s="47">
        <f t="shared" si="26"/>
        <v>7.2727272727272724E-2</v>
      </c>
      <c r="L49" s="103">
        <f t="shared" si="27"/>
        <v>3.2127272727272729</v>
      </c>
      <c r="M49" s="48">
        <v>4000</v>
      </c>
      <c r="N49" s="49">
        <f t="shared" si="9"/>
        <v>55000</v>
      </c>
      <c r="O49" s="49">
        <f t="shared" si="28"/>
        <v>24948</v>
      </c>
      <c r="P49" s="50">
        <v>40</v>
      </c>
      <c r="Q49" s="50">
        <v>1</v>
      </c>
      <c r="R49" s="118" t="s">
        <v>337</v>
      </c>
      <c r="S49" s="146"/>
      <c r="T49" s="36" t="s">
        <v>335</v>
      </c>
      <c r="U49" s="36" t="s">
        <v>338</v>
      </c>
      <c r="V49" s="38" t="s">
        <v>121</v>
      </c>
      <c r="W49" s="51" t="s">
        <v>417</v>
      </c>
      <c r="X49" s="62" t="str">
        <f>IFERROR(INDEX('GİRİŞ ANALİZİ'!$D:$D, MATCH($W49,'GİRİŞ ANALİZİ'!$B:$B, 0)),"Bulunamadı")</f>
        <v>Bulunamadı</v>
      </c>
      <c r="Y49" s="52">
        <v>45915</v>
      </c>
      <c r="Z49" s="53">
        <v>45975</v>
      </c>
      <c r="AA49" s="54">
        <f t="shared" si="29"/>
        <v>60</v>
      </c>
      <c r="AB49" s="55" t="s">
        <v>345</v>
      </c>
    </row>
    <row r="50" spans="1:28" ht="13.5" customHeight="1" x14ac:dyDescent="0.2">
      <c r="A50" s="42">
        <v>45904</v>
      </c>
      <c r="B50" s="43">
        <v>637850</v>
      </c>
      <c r="C50" s="43" t="s">
        <v>204</v>
      </c>
      <c r="D50" s="97" t="str">
        <f t="shared" si="4"/>
        <v>HW.CASHEW NUT W320____________( 22.68 KG )</v>
      </c>
      <c r="E50" s="36" t="s">
        <v>5</v>
      </c>
      <c r="F50" s="36" t="s">
        <v>20</v>
      </c>
      <c r="G50" s="44" t="s">
        <v>4</v>
      </c>
      <c r="H50" s="45">
        <v>2025</v>
      </c>
      <c r="I50" s="44" t="s">
        <v>3</v>
      </c>
      <c r="J50" s="46">
        <v>3.14</v>
      </c>
      <c r="K50" s="47">
        <f t="shared" ref="K50:K51" si="50">M50/55000</f>
        <v>7.2727272727272724E-2</v>
      </c>
      <c r="L50" s="103">
        <f t="shared" ref="L50:L51" si="51">J50+K50</f>
        <v>3.2127272727272729</v>
      </c>
      <c r="M50" s="48">
        <v>4000</v>
      </c>
      <c r="N50" s="49">
        <f t="shared" si="9"/>
        <v>55000</v>
      </c>
      <c r="O50" s="49">
        <f t="shared" si="28"/>
        <v>24948</v>
      </c>
      <c r="P50" s="50">
        <v>40</v>
      </c>
      <c r="Q50" s="50">
        <v>1</v>
      </c>
      <c r="R50" s="118" t="s">
        <v>214</v>
      </c>
      <c r="S50" s="146" t="s">
        <v>411</v>
      </c>
      <c r="T50" s="36" t="s">
        <v>216</v>
      </c>
      <c r="U50" s="36" t="s">
        <v>218</v>
      </c>
      <c r="V50" s="38" t="s">
        <v>121</v>
      </c>
      <c r="W50" s="51" t="s">
        <v>211</v>
      </c>
      <c r="X50" s="62" t="str">
        <f>IFERROR(INDEX('GİRİŞ ANALİZİ'!$D:$D, MATCH($W50,'GİRİŞ ANALİZİ'!$B:$B, 0)),"Bulunamadı")</f>
        <v>Bulunamadı</v>
      </c>
      <c r="Y50" s="52">
        <v>45916</v>
      </c>
      <c r="Z50" s="53">
        <v>45975</v>
      </c>
      <c r="AA50" s="54">
        <f t="shared" ref="AA50:AA51" si="52">+Z50-Y50</f>
        <v>59</v>
      </c>
      <c r="AB50" s="55" t="s">
        <v>97</v>
      </c>
    </row>
    <row r="51" spans="1:28" ht="13.5" customHeight="1" x14ac:dyDescent="0.2">
      <c r="A51" s="42">
        <v>45904</v>
      </c>
      <c r="B51" s="43">
        <v>637850</v>
      </c>
      <c r="C51" s="43" t="s">
        <v>204</v>
      </c>
      <c r="D51" s="97" t="str">
        <f t="shared" si="4"/>
        <v>HW.CASHEW NUT W320____________( 22.68 KG )</v>
      </c>
      <c r="E51" s="36" t="s">
        <v>5</v>
      </c>
      <c r="F51" s="36" t="s">
        <v>20</v>
      </c>
      <c r="G51" s="44" t="s">
        <v>4</v>
      </c>
      <c r="H51" s="45">
        <v>2025</v>
      </c>
      <c r="I51" s="44" t="s">
        <v>3</v>
      </c>
      <c r="J51" s="46">
        <v>3.14</v>
      </c>
      <c r="K51" s="47">
        <f t="shared" si="50"/>
        <v>7.2727272727272724E-2</v>
      </c>
      <c r="L51" s="103">
        <f t="shared" si="51"/>
        <v>3.2127272727272729</v>
      </c>
      <c r="M51" s="48">
        <v>4000</v>
      </c>
      <c r="N51" s="49">
        <f t="shared" si="9"/>
        <v>55000</v>
      </c>
      <c r="O51" s="49">
        <f t="shared" si="28"/>
        <v>24948</v>
      </c>
      <c r="P51" s="50">
        <v>40</v>
      </c>
      <c r="Q51" s="50">
        <v>1</v>
      </c>
      <c r="R51" s="118" t="s">
        <v>215</v>
      </c>
      <c r="S51" s="146" t="s">
        <v>411</v>
      </c>
      <c r="T51" s="36" t="s">
        <v>216</v>
      </c>
      <c r="U51" s="36" t="s">
        <v>218</v>
      </c>
      <c r="V51" s="38" t="s">
        <v>121</v>
      </c>
      <c r="W51" s="51" t="s">
        <v>212</v>
      </c>
      <c r="X51" s="62" t="str">
        <f>IFERROR(INDEX('GİRİŞ ANALİZİ'!$D:$D, MATCH($W51,'GİRİŞ ANALİZİ'!$B:$B, 0)),"Bulunamadı")</f>
        <v>Bulunamadı</v>
      </c>
      <c r="Y51" s="52">
        <v>45916</v>
      </c>
      <c r="Z51" s="53">
        <v>45975</v>
      </c>
      <c r="AA51" s="54">
        <f t="shared" si="52"/>
        <v>59</v>
      </c>
      <c r="AB51" s="55" t="s">
        <v>97</v>
      </c>
    </row>
    <row r="52" spans="1:28" ht="13.5" customHeight="1" x14ac:dyDescent="0.2">
      <c r="A52" s="42">
        <v>45904</v>
      </c>
      <c r="B52" s="43">
        <v>637850</v>
      </c>
      <c r="C52" s="43" t="s">
        <v>204</v>
      </c>
      <c r="D52" s="97" t="str">
        <f t="shared" si="4"/>
        <v>HW.CASHEW NUT W320____________( 22.68 KG )</v>
      </c>
      <c r="E52" s="36" t="s">
        <v>5</v>
      </c>
      <c r="F52" s="36" t="s">
        <v>20</v>
      </c>
      <c r="G52" s="44" t="s">
        <v>4</v>
      </c>
      <c r="H52" s="45">
        <v>2025</v>
      </c>
      <c r="I52" s="44" t="s">
        <v>3</v>
      </c>
      <c r="J52" s="46">
        <v>3.14</v>
      </c>
      <c r="K52" s="47">
        <f t="shared" si="26"/>
        <v>7.2727272727272724E-2</v>
      </c>
      <c r="L52" s="103">
        <f t="shared" si="27"/>
        <v>3.2127272727272729</v>
      </c>
      <c r="M52" s="48">
        <v>4000</v>
      </c>
      <c r="N52" s="49">
        <f t="shared" si="9"/>
        <v>55000</v>
      </c>
      <c r="O52" s="49">
        <f t="shared" si="28"/>
        <v>24948</v>
      </c>
      <c r="P52" s="50">
        <v>40</v>
      </c>
      <c r="Q52" s="50">
        <v>1</v>
      </c>
      <c r="R52" s="118" t="s">
        <v>220</v>
      </c>
      <c r="S52" s="146"/>
      <c r="T52" s="36" t="s">
        <v>221</v>
      </c>
      <c r="U52" s="36" t="s">
        <v>219</v>
      </c>
      <c r="V52" s="38" t="s">
        <v>121</v>
      </c>
      <c r="W52" s="51" t="s">
        <v>213</v>
      </c>
      <c r="X52" s="62" t="str">
        <f>IFERROR(INDEX('GİRİŞ ANALİZİ'!$D:$D, MATCH($W52,'GİRİŞ ANALİZİ'!$B:$B, 0)),"Bulunamadı")</f>
        <v>Bulunamadı</v>
      </c>
      <c r="Y52" s="52">
        <v>45916</v>
      </c>
      <c r="Z52" s="53">
        <v>45975</v>
      </c>
      <c r="AA52" s="54">
        <f t="shared" si="29"/>
        <v>59</v>
      </c>
      <c r="AB52" s="55" t="s">
        <v>345</v>
      </c>
    </row>
    <row r="53" spans="1:28" ht="13.5" customHeight="1" x14ac:dyDescent="0.2">
      <c r="A53" s="42">
        <v>45904</v>
      </c>
      <c r="B53" s="43">
        <v>637850</v>
      </c>
      <c r="C53" s="43" t="s">
        <v>206</v>
      </c>
      <c r="D53" s="97" t="str">
        <f t="shared" si="4"/>
        <v>HW.CASHEW NUT W180____________( 22.68 KG )</v>
      </c>
      <c r="E53" s="36" t="s">
        <v>5</v>
      </c>
      <c r="F53" s="36" t="s">
        <v>20</v>
      </c>
      <c r="G53" s="44" t="s">
        <v>91</v>
      </c>
      <c r="H53" s="45">
        <v>2025</v>
      </c>
      <c r="I53" s="44" t="s">
        <v>3</v>
      </c>
      <c r="J53" s="46">
        <v>3.55</v>
      </c>
      <c r="K53" s="47">
        <f t="shared" si="26"/>
        <v>7.2727272727272724E-2</v>
      </c>
      <c r="L53" s="103">
        <f t="shared" si="27"/>
        <v>3.6227272727272726</v>
      </c>
      <c r="M53" s="48">
        <v>4000</v>
      </c>
      <c r="N53" s="49">
        <f t="shared" si="9"/>
        <v>55000</v>
      </c>
      <c r="O53" s="49">
        <f t="shared" si="28"/>
        <v>24948</v>
      </c>
      <c r="P53" s="50">
        <v>40</v>
      </c>
      <c r="Q53" s="50">
        <v>1</v>
      </c>
      <c r="R53" s="118" t="s">
        <v>234</v>
      </c>
      <c r="S53" s="146" t="s">
        <v>412</v>
      </c>
      <c r="T53" s="36" t="s">
        <v>233</v>
      </c>
      <c r="U53" s="36" t="s">
        <v>245</v>
      </c>
      <c r="V53" s="38" t="s">
        <v>122</v>
      </c>
      <c r="W53" s="51" t="s">
        <v>92</v>
      </c>
      <c r="X53" s="62" t="str">
        <f>IFERROR(INDEX('GİRİŞ ANALİZİ'!$D:$D, MATCH($W53,'GİRİŞ ANALİZİ'!$B:$B, 0)),"Bulunamadı")</f>
        <v>Bulunamadı</v>
      </c>
      <c r="Y53" s="52">
        <v>45916</v>
      </c>
      <c r="Z53" s="53">
        <v>45975</v>
      </c>
      <c r="AA53" s="54">
        <f t="shared" ref="AA53:AA58" si="53">Z53-Y53</f>
        <v>59</v>
      </c>
      <c r="AB53" s="55" t="s">
        <v>97</v>
      </c>
    </row>
    <row r="54" spans="1:28" ht="13.5" customHeight="1" x14ac:dyDescent="0.2">
      <c r="A54" s="42">
        <v>45902</v>
      </c>
      <c r="B54" s="43">
        <v>637511</v>
      </c>
      <c r="C54" s="43" t="s">
        <v>208</v>
      </c>
      <c r="D54" s="97" t="str">
        <f t="shared" si="4"/>
        <v>HW.CASHEW NUT W240____________( 22.68 KG )</v>
      </c>
      <c r="E54" s="36" t="s">
        <v>5</v>
      </c>
      <c r="F54" s="36" t="s">
        <v>27</v>
      </c>
      <c r="G54" s="44" t="s">
        <v>19</v>
      </c>
      <c r="H54" s="45">
        <v>2025</v>
      </c>
      <c r="I54" s="44" t="s">
        <v>3</v>
      </c>
      <c r="J54" s="46">
        <v>3.22</v>
      </c>
      <c r="K54" s="47">
        <f t="shared" ref="K54" si="54">M54/55000</f>
        <v>7.2727272727272724E-2</v>
      </c>
      <c r="L54" s="103">
        <f t="shared" ref="L54" si="55">J54+K54</f>
        <v>3.2927272727272729</v>
      </c>
      <c r="M54" s="48">
        <v>4000</v>
      </c>
      <c r="N54" s="49">
        <f t="shared" ref="N54" si="56">Q54*55000</f>
        <v>55000</v>
      </c>
      <c r="O54" s="49">
        <f t="shared" ref="O54" si="57">N54*0.4536</f>
        <v>24948</v>
      </c>
      <c r="P54" s="50">
        <v>40</v>
      </c>
      <c r="Q54" s="50">
        <v>1</v>
      </c>
      <c r="R54" s="118" t="s">
        <v>230</v>
      </c>
      <c r="S54" s="146" t="s">
        <v>406</v>
      </c>
      <c r="T54" s="36" t="s">
        <v>232</v>
      </c>
      <c r="U54" s="36" t="s">
        <v>229</v>
      </c>
      <c r="V54" s="38" t="s">
        <v>123</v>
      </c>
      <c r="W54" s="51" t="s">
        <v>228</v>
      </c>
      <c r="X54" s="62" t="str">
        <f>IFERROR(INDEX('GİRİŞ ANALİZİ'!$D:$D, MATCH($W54,'GİRİŞ ANALİZİ'!$B:$B, 0)),"Bulunamadı")</f>
        <v>Bulunamadı</v>
      </c>
      <c r="Y54" s="52">
        <v>45916</v>
      </c>
      <c r="Z54" s="53">
        <v>45975</v>
      </c>
      <c r="AA54" s="54">
        <f t="shared" si="53"/>
        <v>59</v>
      </c>
      <c r="AB54" s="55" t="s">
        <v>98</v>
      </c>
    </row>
    <row r="55" spans="1:28" ht="13.5" customHeight="1" x14ac:dyDescent="0.2">
      <c r="A55" s="42">
        <v>45902</v>
      </c>
      <c r="B55" s="43">
        <v>637511</v>
      </c>
      <c r="C55" s="43" t="s">
        <v>208</v>
      </c>
      <c r="D55" s="97" t="str">
        <f t="shared" si="4"/>
        <v>HW.CASHEW NUT W240____________( 22.68 KG )</v>
      </c>
      <c r="E55" s="36" t="s">
        <v>5</v>
      </c>
      <c r="F55" s="36" t="s">
        <v>27</v>
      </c>
      <c r="G55" s="44" t="s">
        <v>19</v>
      </c>
      <c r="H55" s="45">
        <v>2025</v>
      </c>
      <c r="I55" s="44" t="s">
        <v>3</v>
      </c>
      <c r="J55" s="46">
        <v>3.22</v>
      </c>
      <c r="K55" s="47">
        <f t="shared" si="26"/>
        <v>7.2727272727272724E-2</v>
      </c>
      <c r="L55" s="103">
        <f t="shared" si="27"/>
        <v>3.2927272727272729</v>
      </c>
      <c r="M55" s="48">
        <v>4000</v>
      </c>
      <c r="N55" s="49">
        <f t="shared" si="9"/>
        <v>55000</v>
      </c>
      <c r="O55" s="49">
        <f t="shared" si="28"/>
        <v>24948</v>
      </c>
      <c r="P55" s="50">
        <v>40</v>
      </c>
      <c r="Q55" s="50">
        <v>1</v>
      </c>
      <c r="R55" s="118" t="s">
        <v>231</v>
      </c>
      <c r="S55" s="146" t="s">
        <v>406</v>
      </c>
      <c r="T55" s="36" t="s">
        <v>232</v>
      </c>
      <c r="U55" s="36" t="s">
        <v>229</v>
      </c>
      <c r="V55" s="38" t="s">
        <v>123</v>
      </c>
      <c r="W55" s="51" t="s">
        <v>227</v>
      </c>
      <c r="X55" s="62" t="str">
        <f>IFERROR(INDEX('GİRİŞ ANALİZİ'!$D:$D, MATCH($W55,'GİRİŞ ANALİZİ'!$B:$B, 0)),"Bulunamadı")</f>
        <v>Bulunamadı</v>
      </c>
      <c r="Y55" s="52">
        <v>45916</v>
      </c>
      <c r="Z55" s="53">
        <v>45975</v>
      </c>
      <c r="AA55" s="54">
        <f t="shared" si="53"/>
        <v>59</v>
      </c>
      <c r="AB55" s="55" t="s">
        <v>98</v>
      </c>
    </row>
    <row r="56" spans="1:28" x14ac:dyDescent="0.2">
      <c r="A56" s="42">
        <v>45912</v>
      </c>
      <c r="B56" s="43">
        <v>639006</v>
      </c>
      <c r="C56" s="43" t="s">
        <v>204</v>
      </c>
      <c r="D56" s="97" t="str">
        <f t="shared" si="4"/>
        <v>HW.CASHEW NUT W320____________( 22.68 KG )</v>
      </c>
      <c r="E56" s="36" t="s">
        <v>5</v>
      </c>
      <c r="F56" s="36" t="s">
        <v>20</v>
      </c>
      <c r="G56" s="44" t="s">
        <v>4</v>
      </c>
      <c r="H56" s="45">
        <v>2025</v>
      </c>
      <c r="I56" s="44" t="s">
        <v>3</v>
      </c>
      <c r="J56" s="46">
        <v>3.18</v>
      </c>
      <c r="K56" s="47">
        <f t="shared" si="26"/>
        <v>4.2727272727272725E-2</v>
      </c>
      <c r="L56" s="103">
        <f t="shared" si="27"/>
        <v>3.2227272727272727</v>
      </c>
      <c r="M56" s="48">
        <v>2350</v>
      </c>
      <c r="N56" s="49">
        <f t="shared" si="9"/>
        <v>55000</v>
      </c>
      <c r="O56" s="49">
        <f t="shared" si="28"/>
        <v>24948</v>
      </c>
      <c r="P56" s="50">
        <v>40</v>
      </c>
      <c r="Q56" s="50">
        <v>1</v>
      </c>
      <c r="R56" s="118" t="s">
        <v>352</v>
      </c>
      <c r="S56" s="146"/>
      <c r="T56" s="36" t="s">
        <v>360</v>
      </c>
      <c r="U56" s="36" t="s">
        <v>343</v>
      </c>
      <c r="V56" s="38" t="s">
        <v>224</v>
      </c>
      <c r="W56" s="51" t="s">
        <v>104</v>
      </c>
      <c r="X56" s="62" t="str">
        <f>IFERROR(INDEX('GİRİŞ ANALİZİ'!$D:$D, MATCH($W56,'GİRİŞ ANALİZİ'!$B:$B, 0)),"Bulunamadı")</f>
        <v>Bulunamadı</v>
      </c>
      <c r="Y56" s="52">
        <v>45944</v>
      </c>
      <c r="Z56" s="53">
        <v>45995</v>
      </c>
      <c r="AA56" s="54">
        <f t="shared" si="53"/>
        <v>51</v>
      </c>
      <c r="AB56" s="55" t="s">
        <v>96</v>
      </c>
    </row>
    <row r="57" spans="1:28" x14ac:dyDescent="0.2">
      <c r="A57" s="42">
        <v>45912</v>
      </c>
      <c r="B57" s="43">
        <v>639006</v>
      </c>
      <c r="C57" s="43" t="s">
        <v>208</v>
      </c>
      <c r="D57" s="97" t="str">
        <f t="shared" si="4"/>
        <v>HW.CASHEW NUT W240____________( 22.68 KG )</v>
      </c>
      <c r="E57" s="36" t="s">
        <v>5</v>
      </c>
      <c r="F57" s="36" t="s">
        <v>20</v>
      </c>
      <c r="G57" s="44" t="s">
        <v>19</v>
      </c>
      <c r="H57" s="45">
        <v>2025</v>
      </c>
      <c r="I57" s="44" t="s">
        <v>3</v>
      </c>
      <c r="J57" s="46">
        <v>3.25</v>
      </c>
      <c r="K57" s="47">
        <f t="shared" si="26"/>
        <v>4.2727272727272725E-2</v>
      </c>
      <c r="L57" s="103">
        <f t="shared" si="27"/>
        <v>3.2927272727272729</v>
      </c>
      <c r="M57" s="48">
        <v>2350</v>
      </c>
      <c r="N57" s="49">
        <f t="shared" si="9"/>
        <v>55000</v>
      </c>
      <c r="O57" s="49">
        <f t="shared" si="28"/>
        <v>24948</v>
      </c>
      <c r="P57" s="50">
        <v>40</v>
      </c>
      <c r="Q57" s="50">
        <v>1</v>
      </c>
      <c r="R57" s="118" t="s">
        <v>374</v>
      </c>
      <c r="S57" s="146"/>
      <c r="T57" s="36" t="s">
        <v>376</v>
      </c>
      <c r="U57" s="36" t="s">
        <v>344</v>
      </c>
      <c r="V57" s="38" t="s">
        <v>224</v>
      </c>
      <c r="W57" s="51" t="s">
        <v>105</v>
      </c>
      <c r="X57" s="62" t="str">
        <f>IFERROR(INDEX('GİRİŞ ANALİZİ'!$D:$D, MATCH($W57,'GİRİŞ ANALİZİ'!$B:$B, 0)),"Bulunamadı")</f>
        <v>Bulunamadı</v>
      </c>
      <c r="Y57" s="52">
        <v>45955</v>
      </c>
      <c r="Z57" s="53">
        <v>46002</v>
      </c>
      <c r="AA57" s="54">
        <f t="shared" si="53"/>
        <v>47</v>
      </c>
      <c r="AB57" s="55" t="s">
        <v>96</v>
      </c>
    </row>
    <row r="58" spans="1:28" x14ac:dyDescent="0.2">
      <c r="A58" s="42">
        <v>45912</v>
      </c>
      <c r="B58" s="43">
        <v>639006</v>
      </c>
      <c r="C58" s="43" t="s">
        <v>208</v>
      </c>
      <c r="D58" s="97" t="str">
        <f t="shared" si="4"/>
        <v>HW.CASHEW NUT W240____________( 22.68 KG )</v>
      </c>
      <c r="E58" s="36" t="s">
        <v>5</v>
      </c>
      <c r="F58" s="36" t="s">
        <v>20</v>
      </c>
      <c r="G58" s="44" t="s">
        <v>19</v>
      </c>
      <c r="H58" s="45">
        <v>2025</v>
      </c>
      <c r="I58" s="44" t="s">
        <v>3</v>
      </c>
      <c r="J58" s="46">
        <v>3.25</v>
      </c>
      <c r="K58" s="47">
        <f t="shared" si="26"/>
        <v>4.2727272727272725E-2</v>
      </c>
      <c r="L58" s="103">
        <f t="shared" si="27"/>
        <v>3.2927272727272729</v>
      </c>
      <c r="M58" s="48">
        <v>2350</v>
      </c>
      <c r="N58" s="49">
        <f t="shared" si="9"/>
        <v>55000</v>
      </c>
      <c r="O58" s="49">
        <f t="shared" si="28"/>
        <v>24948</v>
      </c>
      <c r="P58" s="50">
        <v>40</v>
      </c>
      <c r="Q58" s="50">
        <v>1</v>
      </c>
      <c r="R58" s="118" t="s">
        <v>384</v>
      </c>
      <c r="S58" s="146"/>
      <c r="T58" s="36" t="s">
        <v>370</v>
      </c>
      <c r="U58" s="36" t="s">
        <v>369</v>
      </c>
      <c r="V58" s="38" t="s">
        <v>224</v>
      </c>
      <c r="W58" s="51" t="s">
        <v>106</v>
      </c>
      <c r="X58" s="62" t="str">
        <f>IFERROR(INDEX('GİRİŞ ANALİZİ'!$D:$D, MATCH($W58,'GİRİŞ ANALİZİ'!$B:$B, 0)),"Bulunamadı")</f>
        <v>Bulunamadı</v>
      </c>
      <c r="Y58" s="52">
        <v>45956</v>
      </c>
      <c r="Z58" s="53">
        <v>46002</v>
      </c>
      <c r="AA58" s="54">
        <f t="shared" si="53"/>
        <v>46</v>
      </c>
      <c r="AB58" s="55" t="s">
        <v>96</v>
      </c>
    </row>
    <row r="59" spans="1:28" x14ac:dyDescent="0.2">
      <c r="A59" s="42">
        <v>45925</v>
      </c>
      <c r="B59" s="43">
        <v>642223</v>
      </c>
      <c r="C59" s="43" t="s">
        <v>204</v>
      </c>
      <c r="D59" s="97" t="str">
        <f t="shared" si="4"/>
        <v>HW.CASHEW NUT W320____________( 22.68 KG )</v>
      </c>
      <c r="E59" s="36" t="s">
        <v>5</v>
      </c>
      <c r="F59" s="36" t="s">
        <v>20</v>
      </c>
      <c r="G59" s="44" t="s">
        <v>4</v>
      </c>
      <c r="H59" s="45">
        <v>2025</v>
      </c>
      <c r="I59" s="44" t="s">
        <v>3</v>
      </c>
      <c r="J59" s="46">
        <v>3.25</v>
      </c>
      <c r="K59" s="47">
        <f t="shared" si="26"/>
        <v>4.2727272727272725E-2</v>
      </c>
      <c r="L59" s="103">
        <f t="shared" si="27"/>
        <v>3.2927272727272729</v>
      </c>
      <c r="M59" s="48">
        <v>2350</v>
      </c>
      <c r="N59" s="49">
        <f t="shared" si="9"/>
        <v>55000</v>
      </c>
      <c r="O59" s="49">
        <f t="shared" si="28"/>
        <v>24948</v>
      </c>
      <c r="P59" s="50">
        <v>40</v>
      </c>
      <c r="Q59" s="50">
        <v>1</v>
      </c>
      <c r="R59" s="118" t="s">
        <v>353</v>
      </c>
      <c r="S59" s="146"/>
      <c r="T59" s="36" t="s">
        <v>353</v>
      </c>
      <c r="U59" s="36" t="s">
        <v>342</v>
      </c>
      <c r="V59" s="38" t="s">
        <v>328</v>
      </c>
      <c r="W59" s="51" t="s">
        <v>311</v>
      </c>
      <c r="X59" s="62" t="str">
        <f>IFERROR(INDEX('GİRİŞ ANALİZİ'!$D:$D, MATCH($W59,'GİRİŞ ANALİZİ'!$B:$B, 0)),"Bulunamadı")</f>
        <v>Bulunamadı</v>
      </c>
      <c r="Y59" s="52">
        <v>45943</v>
      </c>
      <c r="Z59" s="53">
        <v>45995</v>
      </c>
      <c r="AA59" s="54">
        <f t="shared" ref="AA59:AA77" si="58">Z59-Y59</f>
        <v>52</v>
      </c>
      <c r="AB59" s="55" t="s">
        <v>96</v>
      </c>
    </row>
    <row r="60" spans="1:28" x14ac:dyDescent="0.2">
      <c r="A60" s="42">
        <v>45930</v>
      </c>
      <c r="B60" s="43">
        <v>642795</v>
      </c>
      <c r="C60" s="43" t="s">
        <v>204</v>
      </c>
      <c r="D60" s="97" t="str">
        <f t="shared" si="4"/>
        <v>HW.CASHEW NUT W320____________( 22.68 KG )</v>
      </c>
      <c r="E60" s="36" t="s">
        <v>5</v>
      </c>
      <c r="F60" s="36" t="s">
        <v>20</v>
      </c>
      <c r="G60" s="44" t="s">
        <v>4</v>
      </c>
      <c r="H60" s="45">
        <v>2025</v>
      </c>
      <c r="I60" s="44" t="s">
        <v>3</v>
      </c>
      <c r="J60" s="46">
        <v>3.25</v>
      </c>
      <c r="K60" s="47">
        <f t="shared" si="26"/>
        <v>4.2727272727272725E-2</v>
      </c>
      <c r="L60" s="103">
        <f t="shared" si="27"/>
        <v>3.2927272727272729</v>
      </c>
      <c r="M60" s="48">
        <v>2350</v>
      </c>
      <c r="N60" s="49">
        <f t="shared" si="9"/>
        <v>55000</v>
      </c>
      <c r="O60" s="49">
        <f t="shared" si="28"/>
        <v>24948</v>
      </c>
      <c r="P60" s="50">
        <v>40</v>
      </c>
      <c r="Q60" s="50">
        <v>1</v>
      </c>
      <c r="R60" s="118" t="s">
        <v>378</v>
      </c>
      <c r="S60" s="146"/>
      <c r="T60" s="36" t="s">
        <v>377</v>
      </c>
      <c r="U60" s="36" t="s">
        <v>401</v>
      </c>
      <c r="V60" s="38" t="s">
        <v>331</v>
      </c>
      <c r="W60" s="51" t="s">
        <v>323</v>
      </c>
      <c r="X60" s="62" t="str">
        <f>IFERROR(INDEX('GİRİŞ ANALİZİ'!$D:$D, MATCH($W60,'GİRİŞ ANALİZİ'!$B:$B, 0)),"Bulunamadı")</f>
        <v>Bulunamadı</v>
      </c>
      <c r="Y60" s="52">
        <v>45955</v>
      </c>
      <c r="Z60" s="53">
        <v>46002</v>
      </c>
      <c r="AA60" s="54">
        <f t="shared" si="58"/>
        <v>47</v>
      </c>
      <c r="AB60" s="55" t="s">
        <v>96</v>
      </c>
    </row>
    <row r="61" spans="1:28" x14ac:dyDescent="0.2">
      <c r="A61" s="42">
        <v>45930</v>
      </c>
      <c r="B61" s="43">
        <v>642795</v>
      </c>
      <c r="C61" s="43" t="s">
        <v>204</v>
      </c>
      <c r="D61" s="97" t="str">
        <f t="shared" si="4"/>
        <v>HW.CASHEW NUT W320____________( 22.68 KG )</v>
      </c>
      <c r="E61" s="36" t="s">
        <v>5</v>
      </c>
      <c r="F61" s="36" t="s">
        <v>20</v>
      </c>
      <c r="G61" s="44" t="s">
        <v>4</v>
      </c>
      <c r="H61" s="45">
        <v>2025</v>
      </c>
      <c r="I61" s="44" t="s">
        <v>3</v>
      </c>
      <c r="J61" s="46">
        <v>3.25</v>
      </c>
      <c r="K61" s="47">
        <f t="shared" si="26"/>
        <v>4.2727272727272725E-2</v>
      </c>
      <c r="L61" s="103">
        <f t="shared" si="27"/>
        <v>3.2927272727272729</v>
      </c>
      <c r="M61" s="48">
        <v>2350</v>
      </c>
      <c r="N61" s="49">
        <f t="shared" si="9"/>
        <v>55000</v>
      </c>
      <c r="O61" s="49">
        <f t="shared" si="28"/>
        <v>24948</v>
      </c>
      <c r="P61" s="50">
        <v>40</v>
      </c>
      <c r="Q61" s="50">
        <v>1</v>
      </c>
      <c r="R61" s="118" t="s">
        <v>385</v>
      </c>
      <c r="S61" s="146"/>
      <c r="T61" s="36" t="s">
        <v>372</v>
      </c>
      <c r="U61" s="36" t="s">
        <v>371</v>
      </c>
      <c r="V61" s="38" t="s">
        <v>331</v>
      </c>
      <c r="W61" s="51" t="s">
        <v>324</v>
      </c>
      <c r="X61" s="62" t="str">
        <f>IFERROR(INDEX('GİRİŞ ANALİZİ'!$D:$D, MATCH($W61,'GİRİŞ ANALİZİ'!$B:$B, 0)),"Bulunamadı")</f>
        <v>Bulunamadı</v>
      </c>
      <c r="Y61" s="52">
        <v>45955</v>
      </c>
      <c r="Z61" s="53">
        <v>46002</v>
      </c>
      <c r="AA61" s="54">
        <f t="shared" si="58"/>
        <v>47</v>
      </c>
      <c r="AB61" s="55" t="s">
        <v>96</v>
      </c>
    </row>
    <row r="62" spans="1:28" x14ac:dyDescent="0.2">
      <c r="A62" s="42">
        <v>45938</v>
      </c>
      <c r="B62" s="43">
        <v>645283</v>
      </c>
      <c r="C62" s="43" t="s">
        <v>206</v>
      </c>
      <c r="D62" s="97" t="str">
        <f t="shared" si="4"/>
        <v>HW.CASHEW NUT W180____________( 22.68 KG )</v>
      </c>
      <c r="E62" s="36" t="s">
        <v>5</v>
      </c>
      <c r="F62" s="36" t="s">
        <v>20</v>
      </c>
      <c r="G62" s="44" t="s">
        <v>91</v>
      </c>
      <c r="H62" s="45">
        <v>2025</v>
      </c>
      <c r="I62" s="44" t="s">
        <v>3</v>
      </c>
      <c r="J62" s="46">
        <v>3.8</v>
      </c>
      <c r="K62" s="47">
        <f t="shared" si="26"/>
        <v>4.2727272727272725E-2</v>
      </c>
      <c r="L62" s="103">
        <f t="shared" si="27"/>
        <v>3.8427272727272728</v>
      </c>
      <c r="M62" s="48">
        <v>2350</v>
      </c>
      <c r="N62" s="49">
        <f t="shared" si="9"/>
        <v>55000</v>
      </c>
      <c r="O62" s="49">
        <f t="shared" si="28"/>
        <v>24948</v>
      </c>
      <c r="P62" s="50">
        <v>40</v>
      </c>
      <c r="Q62" s="50">
        <v>1</v>
      </c>
      <c r="R62" s="118" t="s">
        <v>382</v>
      </c>
      <c r="S62" s="146"/>
      <c r="T62" s="36" t="s">
        <v>350</v>
      </c>
      <c r="U62" s="36" t="s">
        <v>349</v>
      </c>
      <c r="V62" s="38" t="s">
        <v>358</v>
      </c>
      <c r="W62" s="51" t="s">
        <v>346</v>
      </c>
      <c r="X62" s="62" t="str">
        <f>IFERROR(INDEX('GİRİŞ ANALİZİ'!$D:$D, MATCH($W62,'GİRİŞ ANALİZİ'!$B:$B, 0)),"Bulunamadı")</f>
        <v>Bulunamadı</v>
      </c>
      <c r="Y62" s="52">
        <v>45956</v>
      </c>
      <c r="Z62" s="53">
        <v>46002</v>
      </c>
      <c r="AA62" s="54">
        <f t="shared" si="58"/>
        <v>46</v>
      </c>
      <c r="AB62" s="55" t="s">
        <v>96</v>
      </c>
    </row>
    <row r="63" spans="1:28" x14ac:dyDescent="0.2">
      <c r="A63" s="42">
        <v>45938</v>
      </c>
      <c r="B63" s="43">
        <v>645284</v>
      </c>
      <c r="C63" s="43" t="s">
        <v>206</v>
      </c>
      <c r="D63" s="97" t="str">
        <f t="shared" si="4"/>
        <v>HW.CASHEW NUT W180____________( 22.68 KG )</v>
      </c>
      <c r="E63" s="36" t="s">
        <v>5</v>
      </c>
      <c r="F63" s="36" t="s">
        <v>348</v>
      </c>
      <c r="G63" s="44" t="s">
        <v>91</v>
      </c>
      <c r="H63" s="45">
        <v>2025</v>
      </c>
      <c r="I63" s="44" t="s">
        <v>3</v>
      </c>
      <c r="J63" s="46">
        <v>3.75</v>
      </c>
      <c r="K63" s="47">
        <f t="shared" si="26"/>
        <v>6.0909090909090906E-2</v>
      </c>
      <c r="L63" s="103">
        <f t="shared" si="27"/>
        <v>3.810909090909091</v>
      </c>
      <c r="M63" s="48">
        <v>3350</v>
      </c>
      <c r="N63" s="49">
        <f t="shared" si="9"/>
        <v>55000</v>
      </c>
      <c r="O63" s="49">
        <f t="shared" si="28"/>
        <v>24948</v>
      </c>
      <c r="P63" s="50">
        <v>40</v>
      </c>
      <c r="Q63" s="50">
        <v>1</v>
      </c>
      <c r="R63" s="118" t="s">
        <v>391</v>
      </c>
      <c r="S63" s="146"/>
      <c r="T63" s="36" t="s">
        <v>390</v>
      </c>
      <c r="U63" s="36" t="s">
        <v>392</v>
      </c>
      <c r="V63" s="38" t="s">
        <v>359</v>
      </c>
      <c r="W63" s="51" t="s">
        <v>347</v>
      </c>
      <c r="X63" s="62" t="str">
        <f>IFERROR(INDEX('GİRİŞ ANALİZİ'!$D:$D, MATCH($W63,'GİRİŞ ANALİZİ'!$B:$B, 0)),"Bulunamadı")</f>
        <v>Bulunamadı</v>
      </c>
      <c r="Y63" s="52">
        <v>45967</v>
      </c>
      <c r="Z63" s="53">
        <v>46016</v>
      </c>
      <c r="AA63" s="54">
        <f t="shared" si="58"/>
        <v>49</v>
      </c>
      <c r="AB63" s="55" t="s">
        <v>96</v>
      </c>
    </row>
    <row r="64" spans="1:28" x14ac:dyDescent="0.2">
      <c r="A64" s="42">
        <v>45944</v>
      </c>
      <c r="B64" s="43">
        <v>645469</v>
      </c>
      <c r="C64" s="43" t="s">
        <v>208</v>
      </c>
      <c r="D64" s="97" t="str">
        <f t="shared" si="4"/>
        <v>HW.CASHEW NUT W240____________( 22.68 KG )</v>
      </c>
      <c r="E64" s="36" t="s">
        <v>5</v>
      </c>
      <c r="F64" s="36" t="s">
        <v>25</v>
      </c>
      <c r="G64" s="44" t="s">
        <v>19</v>
      </c>
      <c r="H64" s="45">
        <v>2025</v>
      </c>
      <c r="I64" s="44" t="s">
        <v>3</v>
      </c>
      <c r="J64" s="46">
        <v>3.23</v>
      </c>
      <c r="K64" s="47">
        <f t="shared" si="26"/>
        <v>4.2727272727272725E-2</v>
      </c>
      <c r="L64" s="103">
        <f t="shared" si="27"/>
        <v>3.2727272727272725</v>
      </c>
      <c r="M64" s="48">
        <v>2350</v>
      </c>
      <c r="N64" s="49">
        <f t="shared" si="9"/>
        <v>55000</v>
      </c>
      <c r="O64" s="49">
        <f t="shared" si="28"/>
        <v>24948</v>
      </c>
      <c r="P64" s="50">
        <v>40</v>
      </c>
      <c r="Q64" s="50">
        <v>1</v>
      </c>
      <c r="R64" s="118" t="s">
        <v>388</v>
      </c>
      <c r="S64" s="146"/>
      <c r="T64" s="36" t="s">
        <v>389</v>
      </c>
      <c r="U64" s="36" t="s">
        <v>387</v>
      </c>
      <c r="V64" s="38" t="s">
        <v>383</v>
      </c>
      <c r="W64" s="51" t="s">
        <v>354</v>
      </c>
      <c r="X64" s="62" t="str">
        <f>IFERROR(INDEX('GİRİŞ ANALİZİ'!$D:$D, MATCH($W64,'GİRİŞ ANALİZİ'!$B:$B, 0)),"Bulunamadı")</f>
        <v>Bulunamadı</v>
      </c>
      <c r="Y64" s="52">
        <v>45958</v>
      </c>
      <c r="Z64" s="53">
        <v>46002</v>
      </c>
      <c r="AA64" s="54">
        <f t="shared" si="58"/>
        <v>44</v>
      </c>
      <c r="AB64" s="55" t="s">
        <v>96</v>
      </c>
    </row>
    <row r="65" spans="1:28" x14ac:dyDescent="0.2">
      <c r="A65" s="42">
        <v>45947</v>
      </c>
      <c r="B65" s="43">
        <v>646449</v>
      </c>
      <c r="C65" s="43" t="s">
        <v>204</v>
      </c>
      <c r="D65" s="97" t="str">
        <f t="shared" si="4"/>
        <v>HW.CASHEW NUT W320____________( 22.68 KG )</v>
      </c>
      <c r="E65" s="36" t="s">
        <v>5</v>
      </c>
      <c r="F65" s="36" t="s">
        <v>20</v>
      </c>
      <c r="G65" s="44" t="s">
        <v>4</v>
      </c>
      <c r="H65" s="45">
        <v>2025</v>
      </c>
      <c r="I65" s="44" t="s">
        <v>3</v>
      </c>
      <c r="J65" s="46">
        <v>3.16</v>
      </c>
      <c r="K65" s="47">
        <f t="shared" si="26"/>
        <v>6.0909090909090906E-2</v>
      </c>
      <c r="L65" s="103">
        <f t="shared" si="27"/>
        <v>3.2209090909090912</v>
      </c>
      <c r="M65" s="48">
        <v>3350</v>
      </c>
      <c r="N65" s="49">
        <f t="shared" si="9"/>
        <v>55000</v>
      </c>
      <c r="O65" s="49">
        <f t="shared" si="28"/>
        <v>24948</v>
      </c>
      <c r="P65" s="50">
        <v>40</v>
      </c>
      <c r="Q65" s="50">
        <v>1</v>
      </c>
      <c r="R65" s="118" t="s">
        <v>398</v>
      </c>
      <c r="S65" s="146"/>
      <c r="T65" s="36" t="s">
        <v>394</v>
      </c>
      <c r="U65" s="36" t="s">
        <v>393</v>
      </c>
      <c r="V65" s="38" t="s">
        <v>397</v>
      </c>
      <c r="W65" s="51" t="s">
        <v>373</v>
      </c>
      <c r="X65" s="62" t="str">
        <f>IFERROR(INDEX('GİRİŞ ANALİZİ'!$D:$D, MATCH($W65,'GİRİŞ ANALİZİ'!$B:$B, 0)),"Bulunamadı")</f>
        <v>Bulunamadı</v>
      </c>
      <c r="Y65" s="52">
        <v>45972</v>
      </c>
      <c r="Z65" s="53">
        <v>46023</v>
      </c>
      <c r="AA65" s="54">
        <f t="shared" si="58"/>
        <v>51</v>
      </c>
      <c r="AB65" s="55" t="s">
        <v>96</v>
      </c>
    </row>
    <row r="66" spans="1:28" x14ac:dyDescent="0.2">
      <c r="A66" s="42">
        <v>45947</v>
      </c>
      <c r="B66" s="43">
        <v>646449</v>
      </c>
      <c r="C66" s="43" t="s">
        <v>208</v>
      </c>
      <c r="D66" s="97" t="str">
        <f t="shared" si="4"/>
        <v>HW.CASHEW NUT W240____________( 22.68 KG )</v>
      </c>
      <c r="E66" s="36" t="s">
        <v>5</v>
      </c>
      <c r="F66" s="36" t="s">
        <v>20</v>
      </c>
      <c r="G66" s="44" t="s">
        <v>19</v>
      </c>
      <c r="H66" s="45">
        <v>2025</v>
      </c>
      <c r="I66" s="44" t="s">
        <v>3</v>
      </c>
      <c r="J66" s="46">
        <v>3.25</v>
      </c>
      <c r="K66" s="47">
        <f t="shared" si="26"/>
        <v>6.0909090909090906E-2</v>
      </c>
      <c r="L66" s="103">
        <f t="shared" si="27"/>
        <v>3.310909090909091</v>
      </c>
      <c r="M66" s="48">
        <v>3350</v>
      </c>
      <c r="N66" s="49">
        <f t="shared" si="9"/>
        <v>55000</v>
      </c>
      <c r="O66" s="49">
        <f t="shared" si="28"/>
        <v>24948</v>
      </c>
      <c r="P66" s="50">
        <v>40</v>
      </c>
      <c r="Q66" s="50">
        <v>1</v>
      </c>
      <c r="R66" s="118" t="s">
        <v>399</v>
      </c>
      <c r="S66" s="146"/>
      <c r="T66" s="36" t="s">
        <v>396</v>
      </c>
      <c r="U66" s="36" t="s">
        <v>395</v>
      </c>
      <c r="V66" s="38" t="s">
        <v>397</v>
      </c>
      <c r="W66" s="51" t="s">
        <v>375</v>
      </c>
      <c r="X66" s="62" t="str">
        <f>IFERROR(INDEX('GİRİŞ ANALİZİ'!$D:$D, MATCH($W66,'GİRİŞ ANALİZİ'!$B:$B, 0)),"Bulunamadı")</f>
        <v>Bulunamadı</v>
      </c>
      <c r="Y66" s="52">
        <v>45972</v>
      </c>
      <c r="Z66" s="53">
        <v>46023</v>
      </c>
      <c r="AA66" s="54">
        <f t="shared" si="58"/>
        <v>51</v>
      </c>
      <c r="AB66" s="55" t="s">
        <v>96</v>
      </c>
    </row>
    <row r="67" spans="1:28" x14ac:dyDescent="0.2">
      <c r="A67" s="42"/>
      <c r="B67" s="43"/>
      <c r="C67" s="43"/>
      <c r="D67" s="97"/>
      <c r="E67" s="36" t="s">
        <v>5</v>
      </c>
      <c r="F67" s="36"/>
      <c r="G67" s="44"/>
      <c r="H67" s="45"/>
      <c r="I67" s="44"/>
      <c r="J67" s="46"/>
      <c r="K67" s="47">
        <f t="shared" si="26"/>
        <v>7.454545454545454E-2</v>
      </c>
      <c r="L67" s="103">
        <f t="shared" si="27"/>
        <v>7.454545454545454E-2</v>
      </c>
      <c r="M67" s="48">
        <v>4100</v>
      </c>
      <c r="N67" s="49">
        <f t="shared" si="9"/>
        <v>0</v>
      </c>
      <c r="O67" s="49">
        <f t="shared" si="28"/>
        <v>0</v>
      </c>
      <c r="P67" s="50"/>
      <c r="Q67" s="50"/>
      <c r="R67" s="118"/>
      <c r="S67" s="146"/>
      <c r="T67" s="36"/>
      <c r="U67" s="36"/>
      <c r="V67" s="38"/>
      <c r="W67" s="51"/>
      <c r="X67" s="62" t="str">
        <f>IFERROR(INDEX('GİRİŞ ANALİZİ'!$D:$D, MATCH($W67,'GİRİŞ ANALİZİ'!$B:$B, 0)),"Bulunamadı")</f>
        <v>Bulunamadı</v>
      </c>
      <c r="Y67" s="52"/>
      <c r="Z67" s="53"/>
      <c r="AA67" s="54">
        <f t="shared" si="58"/>
        <v>0</v>
      </c>
      <c r="AB67" s="55" t="s">
        <v>99</v>
      </c>
    </row>
    <row r="68" spans="1:28" x14ac:dyDescent="0.2">
      <c r="A68" s="42"/>
      <c r="B68" s="43"/>
      <c r="C68" s="43"/>
      <c r="D68" s="97" t="str">
        <f t="shared" ref="D68:D130" si="59">IF(C68="H5130003","HW.CASHEW NUT W320____________( 22.68 KG )",IF(C68="H5130001","HW.CASHEW NUT W240____________( 22.68 KG )",IF(C68="H5130164","HW.CASHEW NUT W180____________( 22.68 KG )","")))</f>
        <v/>
      </c>
      <c r="E68" s="36" t="s">
        <v>5</v>
      </c>
      <c r="F68" s="36"/>
      <c r="G68" s="44"/>
      <c r="H68" s="45"/>
      <c r="I68" s="44"/>
      <c r="J68" s="46"/>
      <c r="K68" s="47">
        <f t="shared" si="26"/>
        <v>0</v>
      </c>
      <c r="L68" s="103">
        <f t="shared" si="27"/>
        <v>0</v>
      </c>
      <c r="M68" s="48"/>
      <c r="N68" s="49">
        <f t="shared" si="9"/>
        <v>0</v>
      </c>
      <c r="O68" s="49">
        <f t="shared" si="28"/>
        <v>0</v>
      </c>
      <c r="P68" s="50"/>
      <c r="Q68" s="50"/>
      <c r="R68" s="118"/>
      <c r="S68" s="146"/>
      <c r="T68" s="36"/>
      <c r="U68" s="36"/>
      <c r="V68" s="38"/>
      <c r="W68" s="51"/>
      <c r="X68" s="62" t="str">
        <f>IFERROR(INDEX('GİRİŞ ANALİZİ'!$D:$D, MATCH($W68,'GİRİŞ ANALİZİ'!$B:$B, 0)),"Bulunamadı")</f>
        <v>Bulunamadı</v>
      </c>
      <c r="Y68" s="52"/>
      <c r="Z68" s="53"/>
      <c r="AA68" s="54">
        <f t="shared" si="58"/>
        <v>0</v>
      </c>
      <c r="AB68" s="55" t="s">
        <v>99</v>
      </c>
    </row>
    <row r="69" spans="1:28" x14ac:dyDescent="0.2">
      <c r="A69" s="42"/>
      <c r="B69" s="43"/>
      <c r="C69" s="43"/>
      <c r="D69" s="97" t="str">
        <f t="shared" si="59"/>
        <v/>
      </c>
      <c r="E69" s="36" t="s">
        <v>5</v>
      </c>
      <c r="F69" s="36"/>
      <c r="G69" s="44"/>
      <c r="H69" s="45"/>
      <c r="I69" s="44"/>
      <c r="J69" s="46"/>
      <c r="K69" s="47">
        <f t="shared" si="26"/>
        <v>0</v>
      </c>
      <c r="L69" s="103">
        <f t="shared" si="27"/>
        <v>0</v>
      </c>
      <c r="M69" s="48"/>
      <c r="N69" s="49">
        <f t="shared" si="9"/>
        <v>0</v>
      </c>
      <c r="O69" s="49">
        <f t="shared" si="28"/>
        <v>0</v>
      </c>
      <c r="P69" s="50"/>
      <c r="Q69" s="50"/>
      <c r="R69" s="118"/>
      <c r="S69" s="146"/>
      <c r="T69" s="36"/>
      <c r="U69" s="36"/>
      <c r="V69" s="38"/>
      <c r="W69" s="51"/>
      <c r="X69" s="62" t="str">
        <f>IFERROR(INDEX('GİRİŞ ANALİZİ'!$D:$D, MATCH($W69,'GİRİŞ ANALİZİ'!$B:$B, 0)),"Bulunamadı")</f>
        <v>Bulunamadı</v>
      </c>
      <c r="Y69" s="52"/>
      <c r="Z69" s="53"/>
      <c r="AA69" s="54">
        <f t="shared" si="58"/>
        <v>0</v>
      </c>
      <c r="AB69" s="55" t="s">
        <v>99</v>
      </c>
    </row>
    <row r="70" spans="1:28" x14ac:dyDescent="0.2">
      <c r="A70" s="42"/>
      <c r="B70" s="43"/>
      <c r="C70" s="43"/>
      <c r="D70" s="97" t="str">
        <f t="shared" si="59"/>
        <v/>
      </c>
      <c r="E70" s="36" t="s">
        <v>5</v>
      </c>
      <c r="F70" s="36"/>
      <c r="G70" s="44"/>
      <c r="H70" s="45"/>
      <c r="I70" s="44"/>
      <c r="J70" s="46"/>
      <c r="K70" s="47">
        <f t="shared" si="26"/>
        <v>0</v>
      </c>
      <c r="L70" s="103">
        <f t="shared" si="27"/>
        <v>0</v>
      </c>
      <c r="M70" s="48"/>
      <c r="N70" s="49">
        <f t="shared" si="9"/>
        <v>0</v>
      </c>
      <c r="O70" s="49">
        <f t="shared" si="28"/>
        <v>0</v>
      </c>
      <c r="P70" s="50"/>
      <c r="Q70" s="50"/>
      <c r="R70" s="118"/>
      <c r="S70" s="146"/>
      <c r="T70" s="36"/>
      <c r="U70" s="36"/>
      <c r="V70" s="38"/>
      <c r="W70" s="51"/>
      <c r="X70" s="62" t="str">
        <f>IFERROR(INDEX('GİRİŞ ANALİZİ'!$D:$D, MATCH($W70,'GİRİŞ ANALİZİ'!$B:$B, 0)),"Bulunamadı")</f>
        <v>Bulunamadı</v>
      </c>
      <c r="Y70" s="52"/>
      <c r="Z70" s="53"/>
      <c r="AA70" s="54">
        <f t="shared" si="58"/>
        <v>0</v>
      </c>
      <c r="AB70" s="55" t="s">
        <v>99</v>
      </c>
    </row>
    <row r="71" spans="1:28" x14ac:dyDescent="0.2">
      <c r="A71" s="42"/>
      <c r="B71" s="43"/>
      <c r="C71" s="43"/>
      <c r="D71" s="97" t="str">
        <f t="shared" si="59"/>
        <v/>
      </c>
      <c r="E71" s="36" t="s">
        <v>5</v>
      </c>
      <c r="F71" s="36"/>
      <c r="G71" s="44"/>
      <c r="H71" s="45"/>
      <c r="I71" s="44"/>
      <c r="J71" s="46"/>
      <c r="K71" s="47">
        <f t="shared" si="26"/>
        <v>0</v>
      </c>
      <c r="L71" s="103">
        <f t="shared" si="27"/>
        <v>0</v>
      </c>
      <c r="M71" s="48"/>
      <c r="N71" s="49">
        <f t="shared" si="9"/>
        <v>0</v>
      </c>
      <c r="O71" s="49">
        <f t="shared" si="28"/>
        <v>0</v>
      </c>
      <c r="P71" s="50"/>
      <c r="Q71" s="50"/>
      <c r="R71" s="118"/>
      <c r="S71" s="146"/>
      <c r="T71" s="36"/>
      <c r="U71" s="36"/>
      <c r="V71" s="38"/>
      <c r="W71" s="51"/>
      <c r="X71" s="62" t="str">
        <f>IFERROR(INDEX('GİRİŞ ANALİZİ'!$D:$D, MATCH($W71,'GİRİŞ ANALİZİ'!$B:$B, 0)),"Bulunamadı")</f>
        <v>Bulunamadı</v>
      </c>
      <c r="Y71" s="52"/>
      <c r="Z71" s="53"/>
      <c r="AA71" s="54">
        <f t="shared" si="58"/>
        <v>0</v>
      </c>
      <c r="AB71" s="55" t="s">
        <v>99</v>
      </c>
    </row>
    <row r="72" spans="1:28" x14ac:dyDescent="0.2">
      <c r="A72" s="42"/>
      <c r="B72" s="43"/>
      <c r="C72" s="43"/>
      <c r="D72" s="97" t="str">
        <f t="shared" si="59"/>
        <v/>
      </c>
      <c r="E72" s="36" t="s">
        <v>5</v>
      </c>
      <c r="F72" s="36"/>
      <c r="G72" s="44"/>
      <c r="H72" s="45"/>
      <c r="I72" s="44"/>
      <c r="J72" s="46"/>
      <c r="K72" s="47">
        <f t="shared" si="26"/>
        <v>0</v>
      </c>
      <c r="L72" s="103">
        <f t="shared" si="27"/>
        <v>0</v>
      </c>
      <c r="M72" s="48"/>
      <c r="N72" s="49">
        <f t="shared" si="9"/>
        <v>0</v>
      </c>
      <c r="O72" s="49">
        <f t="shared" si="28"/>
        <v>0</v>
      </c>
      <c r="P72" s="50"/>
      <c r="Q72" s="50"/>
      <c r="R72" s="118"/>
      <c r="S72" s="146"/>
      <c r="T72" s="36"/>
      <c r="U72" s="36"/>
      <c r="V72" s="38"/>
      <c r="W72" s="51"/>
      <c r="X72" s="62" t="str">
        <f>IFERROR(INDEX('GİRİŞ ANALİZİ'!$D:$D, MATCH($W72,'GİRİŞ ANALİZİ'!$B:$B, 0)),"Bulunamadı")</f>
        <v>Bulunamadı</v>
      </c>
      <c r="Y72" s="52"/>
      <c r="Z72" s="53"/>
      <c r="AA72" s="54">
        <f t="shared" si="58"/>
        <v>0</v>
      </c>
      <c r="AB72" s="55" t="s">
        <v>99</v>
      </c>
    </row>
    <row r="73" spans="1:28" x14ac:dyDescent="0.2">
      <c r="A73" s="42"/>
      <c r="B73" s="43"/>
      <c r="C73" s="43"/>
      <c r="D73" s="97" t="str">
        <f t="shared" si="59"/>
        <v/>
      </c>
      <c r="E73" s="36" t="s">
        <v>5</v>
      </c>
      <c r="F73" s="36"/>
      <c r="G73" s="44"/>
      <c r="H73" s="45"/>
      <c r="I73" s="44"/>
      <c r="J73" s="46"/>
      <c r="K73" s="47">
        <f t="shared" si="26"/>
        <v>0</v>
      </c>
      <c r="L73" s="103">
        <f t="shared" si="27"/>
        <v>0</v>
      </c>
      <c r="M73" s="48"/>
      <c r="N73" s="49">
        <f t="shared" si="9"/>
        <v>0</v>
      </c>
      <c r="O73" s="49">
        <f t="shared" si="28"/>
        <v>0</v>
      </c>
      <c r="P73" s="50"/>
      <c r="Q73" s="50"/>
      <c r="R73" s="118"/>
      <c r="S73" s="146"/>
      <c r="T73" s="36"/>
      <c r="U73" s="36"/>
      <c r="V73" s="38"/>
      <c r="W73" s="51"/>
      <c r="X73" s="62" t="str">
        <f>IFERROR(INDEX('GİRİŞ ANALİZİ'!$D:$D, MATCH($W73,'GİRİŞ ANALİZİ'!$B:$B, 0)),"Bulunamadı")</f>
        <v>Bulunamadı</v>
      </c>
      <c r="Y73" s="52"/>
      <c r="Z73" s="53"/>
      <c r="AA73" s="54">
        <f t="shared" si="58"/>
        <v>0</v>
      </c>
      <c r="AB73" s="55" t="s">
        <v>99</v>
      </c>
    </row>
    <row r="74" spans="1:28" x14ac:dyDescent="0.2">
      <c r="A74" s="42"/>
      <c r="B74" s="43"/>
      <c r="C74" s="43"/>
      <c r="D74" s="97" t="str">
        <f t="shared" si="59"/>
        <v/>
      </c>
      <c r="E74" s="36" t="s">
        <v>5</v>
      </c>
      <c r="F74" s="36"/>
      <c r="G74" s="44"/>
      <c r="H74" s="45"/>
      <c r="I74" s="44"/>
      <c r="J74" s="46"/>
      <c r="K74" s="47">
        <f t="shared" si="26"/>
        <v>0</v>
      </c>
      <c r="L74" s="103">
        <f t="shared" si="27"/>
        <v>0</v>
      </c>
      <c r="M74" s="48"/>
      <c r="N74" s="49">
        <f t="shared" si="9"/>
        <v>0</v>
      </c>
      <c r="O74" s="49">
        <f t="shared" si="28"/>
        <v>0</v>
      </c>
      <c r="P74" s="50"/>
      <c r="Q74" s="50"/>
      <c r="R74" s="118"/>
      <c r="S74" s="146"/>
      <c r="T74" s="36"/>
      <c r="U74" s="36"/>
      <c r="V74" s="38"/>
      <c r="W74" s="51"/>
      <c r="X74" s="62" t="str">
        <f>IFERROR(INDEX('GİRİŞ ANALİZİ'!$D:$D, MATCH($W74,'GİRİŞ ANALİZİ'!$B:$B, 0)),"Bulunamadı")</f>
        <v>Bulunamadı</v>
      </c>
      <c r="Y74" s="52"/>
      <c r="Z74" s="53"/>
      <c r="AA74" s="54">
        <f t="shared" si="58"/>
        <v>0</v>
      </c>
      <c r="AB74" s="55" t="s">
        <v>99</v>
      </c>
    </row>
    <row r="75" spans="1:28" x14ac:dyDescent="0.2">
      <c r="A75" s="42"/>
      <c r="B75" s="43"/>
      <c r="C75" s="43"/>
      <c r="D75" s="97" t="str">
        <f t="shared" si="59"/>
        <v/>
      </c>
      <c r="E75" s="36" t="s">
        <v>5</v>
      </c>
      <c r="F75" s="36"/>
      <c r="G75" s="44"/>
      <c r="H75" s="45"/>
      <c r="I75" s="44"/>
      <c r="J75" s="46"/>
      <c r="K75" s="47">
        <f t="shared" si="26"/>
        <v>0</v>
      </c>
      <c r="L75" s="103">
        <f t="shared" si="27"/>
        <v>0</v>
      </c>
      <c r="M75" s="48"/>
      <c r="N75" s="49">
        <f t="shared" si="9"/>
        <v>0</v>
      </c>
      <c r="O75" s="49">
        <f t="shared" si="28"/>
        <v>0</v>
      </c>
      <c r="P75" s="50"/>
      <c r="Q75" s="50"/>
      <c r="R75" s="118"/>
      <c r="S75" s="146"/>
      <c r="T75" s="36"/>
      <c r="U75" s="36"/>
      <c r="V75" s="38"/>
      <c r="W75" s="51"/>
      <c r="X75" s="62" t="str">
        <f>IFERROR(INDEX('GİRİŞ ANALİZİ'!$D:$D, MATCH($W75,'GİRİŞ ANALİZİ'!$B:$B, 0)),"Bulunamadı")</f>
        <v>Bulunamadı</v>
      </c>
      <c r="Y75" s="52"/>
      <c r="Z75" s="53"/>
      <c r="AA75" s="54">
        <f t="shared" si="58"/>
        <v>0</v>
      </c>
      <c r="AB75" s="55" t="s">
        <v>99</v>
      </c>
    </row>
    <row r="76" spans="1:28" x14ac:dyDescent="0.2">
      <c r="A76" s="42"/>
      <c r="B76" s="43"/>
      <c r="C76" s="43"/>
      <c r="D76" s="97" t="str">
        <f t="shared" si="59"/>
        <v/>
      </c>
      <c r="E76" s="36" t="s">
        <v>5</v>
      </c>
      <c r="F76" s="36"/>
      <c r="G76" s="44"/>
      <c r="H76" s="45"/>
      <c r="I76" s="44"/>
      <c r="J76" s="46"/>
      <c r="K76" s="47">
        <f t="shared" si="26"/>
        <v>0</v>
      </c>
      <c r="L76" s="103">
        <f t="shared" si="27"/>
        <v>0</v>
      </c>
      <c r="M76" s="48"/>
      <c r="N76" s="49">
        <f t="shared" si="9"/>
        <v>0</v>
      </c>
      <c r="O76" s="49">
        <f t="shared" si="28"/>
        <v>0</v>
      </c>
      <c r="P76" s="50"/>
      <c r="Q76" s="50"/>
      <c r="R76" s="118"/>
      <c r="S76" s="146"/>
      <c r="T76" s="36"/>
      <c r="U76" s="36"/>
      <c r="V76" s="38"/>
      <c r="W76" s="51"/>
      <c r="X76" s="62" t="str">
        <f>IFERROR(INDEX('GİRİŞ ANALİZİ'!$D:$D, MATCH($W76,'GİRİŞ ANALİZİ'!$B:$B, 0)),"Bulunamadı")</f>
        <v>Bulunamadı</v>
      </c>
      <c r="Y76" s="52"/>
      <c r="Z76" s="53"/>
      <c r="AA76" s="54">
        <f t="shared" si="58"/>
        <v>0</v>
      </c>
      <c r="AB76" s="55" t="s">
        <v>99</v>
      </c>
    </row>
    <row r="77" spans="1:28" x14ac:dyDescent="0.2">
      <c r="A77" s="42"/>
      <c r="B77" s="43"/>
      <c r="C77" s="43"/>
      <c r="D77" s="97" t="str">
        <f t="shared" si="59"/>
        <v/>
      </c>
      <c r="E77" s="36" t="s">
        <v>5</v>
      </c>
      <c r="F77" s="36"/>
      <c r="G77" s="44"/>
      <c r="H77" s="45"/>
      <c r="I77" s="44"/>
      <c r="J77" s="46"/>
      <c r="K77" s="47">
        <f t="shared" si="26"/>
        <v>0</v>
      </c>
      <c r="L77" s="103">
        <f t="shared" si="27"/>
        <v>0</v>
      </c>
      <c r="M77" s="48"/>
      <c r="N77" s="49">
        <f t="shared" si="9"/>
        <v>0</v>
      </c>
      <c r="O77" s="49">
        <f t="shared" si="28"/>
        <v>0</v>
      </c>
      <c r="P77" s="50"/>
      <c r="Q77" s="50"/>
      <c r="R77" s="118"/>
      <c r="S77" s="146"/>
      <c r="T77" s="36"/>
      <c r="U77" s="36"/>
      <c r="V77" s="38"/>
      <c r="W77" s="51"/>
      <c r="X77" s="62" t="str">
        <f>IFERROR(INDEX('GİRİŞ ANALİZİ'!$D:$D, MATCH($W77,'GİRİŞ ANALİZİ'!$B:$B, 0)),"Bulunamadı")</f>
        <v>Bulunamadı</v>
      </c>
      <c r="Y77" s="52"/>
      <c r="Z77" s="53"/>
      <c r="AA77" s="54">
        <f t="shared" si="58"/>
        <v>0</v>
      </c>
      <c r="AB77" s="55" t="s">
        <v>99</v>
      </c>
    </row>
    <row r="78" spans="1:28" x14ac:dyDescent="0.2">
      <c r="A78" s="42"/>
      <c r="B78" s="43"/>
      <c r="C78" s="43"/>
      <c r="D78" s="97" t="str">
        <f t="shared" ref="D78" si="60">IF(C78="H5130003","HW.CASHEW NUT W320____________( 22.68 KG )",IF(C78="H5130001","HW.CASHEW NUT W240____________( 22.68 KG )",IF(C78="H5130164","HW.CASHEW NUT W180____________( 22.68 KG )","")))</f>
        <v/>
      </c>
      <c r="E78" s="36" t="s">
        <v>5</v>
      </c>
      <c r="F78" s="36"/>
      <c r="G78" s="44"/>
      <c r="H78" s="45"/>
      <c r="I78" s="44"/>
      <c r="J78" s="46"/>
      <c r="K78" s="47">
        <f t="shared" ref="K78" si="61">M78/55000</f>
        <v>0</v>
      </c>
      <c r="L78" s="103">
        <f t="shared" ref="L78" si="62">J78+K78</f>
        <v>0</v>
      </c>
      <c r="M78" s="48"/>
      <c r="N78" s="49">
        <f t="shared" ref="N78" si="63">Q78*55000</f>
        <v>0</v>
      </c>
      <c r="O78" s="49">
        <f t="shared" ref="O78" si="64">N78*0.4536</f>
        <v>0</v>
      </c>
      <c r="P78" s="50"/>
      <c r="Q78" s="50"/>
      <c r="R78" s="118"/>
      <c r="S78" s="146"/>
      <c r="T78" s="36"/>
      <c r="U78" s="36"/>
      <c r="V78" s="38"/>
      <c r="W78" s="51"/>
      <c r="X78" s="62" t="str">
        <f>IFERROR(INDEX('GİRİŞ ANALİZİ'!$D:$D, MATCH($W78,'GİRİŞ ANALİZİ'!$B:$B, 0)),"Bulunamadı")</f>
        <v>Bulunamadı</v>
      </c>
      <c r="Y78" s="52"/>
      <c r="Z78" s="53"/>
      <c r="AA78" s="54">
        <f t="shared" ref="AA78" si="65">Z78-Y78</f>
        <v>0</v>
      </c>
      <c r="AB78" s="55" t="s">
        <v>99</v>
      </c>
    </row>
    <row r="79" spans="1:28" x14ac:dyDescent="0.2">
      <c r="A79" s="42"/>
      <c r="B79" s="43"/>
      <c r="C79" s="43"/>
      <c r="D79" s="97" t="str">
        <f t="shared" ref="D79:D100" si="66">IF(C79="H5130003","HW.CASHEW NUT W320____________( 22.68 KG )",IF(C79="H5130001","HW.CASHEW NUT W240____________( 22.68 KG )",IF(C79="H5130164","HW.CASHEW NUT W180____________( 22.68 KG )","")))</f>
        <v/>
      </c>
      <c r="E79" s="36" t="s">
        <v>5</v>
      </c>
      <c r="F79" s="36"/>
      <c r="G79" s="44"/>
      <c r="H79" s="45"/>
      <c r="I79" s="44"/>
      <c r="J79" s="46"/>
      <c r="K79" s="47">
        <f t="shared" ref="K79:K100" si="67">M79/55000</f>
        <v>0</v>
      </c>
      <c r="L79" s="103">
        <f t="shared" ref="L79:L100" si="68">J79+K79</f>
        <v>0</v>
      </c>
      <c r="M79" s="48"/>
      <c r="N79" s="49">
        <f t="shared" ref="N79:N100" si="69">Q79*55000</f>
        <v>0</v>
      </c>
      <c r="O79" s="49">
        <f t="shared" ref="O79:O100" si="70">N79*0.4536</f>
        <v>0</v>
      </c>
      <c r="P79" s="50"/>
      <c r="Q79" s="50"/>
      <c r="R79" s="118"/>
      <c r="S79" s="146"/>
      <c r="T79" s="36"/>
      <c r="U79" s="36"/>
      <c r="V79" s="38"/>
      <c r="W79" s="51"/>
      <c r="X79" s="62" t="str">
        <f>IFERROR(INDEX('GİRİŞ ANALİZİ'!$D:$D, MATCH($W79,'GİRİŞ ANALİZİ'!$B:$B, 0)),"Bulunamadı")</f>
        <v>Bulunamadı</v>
      </c>
      <c r="Y79" s="52"/>
      <c r="Z79" s="53"/>
      <c r="AA79" s="54">
        <f t="shared" ref="AA79:AA100" si="71">Z79-Y79</f>
        <v>0</v>
      </c>
      <c r="AB79" s="55" t="s">
        <v>99</v>
      </c>
    </row>
    <row r="80" spans="1:28" x14ac:dyDescent="0.2">
      <c r="A80" s="42"/>
      <c r="B80" s="43"/>
      <c r="C80" s="43"/>
      <c r="D80" s="97" t="str">
        <f t="shared" si="66"/>
        <v/>
      </c>
      <c r="E80" s="36" t="s">
        <v>5</v>
      </c>
      <c r="F80" s="36"/>
      <c r="G80" s="44"/>
      <c r="H80" s="45"/>
      <c r="I80" s="44"/>
      <c r="J80" s="46"/>
      <c r="K80" s="47">
        <f t="shared" si="67"/>
        <v>0</v>
      </c>
      <c r="L80" s="103">
        <f t="shared" si="68"/>
        <v>0</v>
      </c>
      <c r="M80" s="48"/>
      <c r="N80" s="49">
        <f t="shared" si="69"/>
        <v>0</v>
      </c>
      <c r="O80" s="49">
        <f t="shared" si="70"/>
        <v>0</v>
      </c>
      <c r="P80" s="50"/>
      <c r="Q80" s="50"/>
      <c r="R80" s="118"/>
      <c r="S80" s="146"/>
      <c r="T80" s="36"/>
      <c r="U80" s="36"/>
      <c r="V80" s="38"/>
      <c r="W80" s="51"/>
      <c r="X80" s="62" t="str">
        <f>IFERROR(INDEX('GİRİŞ ANALİZİ'!$D:$D, MATCH($W80,'GİRİŞ ANALİZİ'!$B:$B, 0)),"Bulunamadı")</f>
        <v>Bulunamadı</v>
      </c>
      <c r="Y80" s="52"/>
      <c r="Z80" s="53"/>
      <c r="AA80" s="54">
        <f t="shared" si="71"/>
        <v>0</v>
      </c>
      <c r="AB80" s="55" t="s">
        <v>99</v>
      </c>
    </row>
    <row r="81" spans="1:28" x14ac:dyDescent="0.2">
      <c r="A81" s="42"/>
      <c r="B81" s="43"/>
      <c r="C81" s="43"/>
      <c r="D81" s="97" t="str">
        <f t="shared" si="66"/>
        <v/>
      </c>
      <c r="E81" s="36" t="s">
        <v>5</v>
      </c>
      <c r="F81" s="36"/>
      <c r="G81" s="44"/>
      <c r="H81" s="45"/>
      <c r="I81" s="44"/>
      <c r="J81" s="46"/>
      <c r="K81" s="47">
        <f t="shared" si="67"/>
        <v>0</v>
      </c>
      <c r="L81" s="103">
        <f t="shared" si="68"/>
        <v>0</v>
      </c>
      <c r="M81" s="48"/>
      <c r="N81" s="49">
        <f t="shared" si="69"/>
        <v>0</v>
      </c>
      <c r="O81" s="49">
        <f t="shared" si="70"/>
        <v>0</v>
      </c>
      <c r="P81" s="50"/>
      <c r="Q81" s="50"/>
      <c r="R81" s="118"/>
      <c r="S81" s="146"/>
      <c r="T81" s="36"/>
      <c r="U81" s="36"/>
      <c r="V81" s="38"/>
      <c r="W81" s="51"/>
      <c r="X81" s="62" t="str">
        <f>IFERROR(INDEX('GİRİŞ ANALİZİ'!$D:$D, MATCH($W81,'GİRİŞ ANALİZİ'!$B:$B, 0)),"Bulunamadı")</f>
        <v>Bulunamadı</v>
      </c>
      <c r="Y81" s="52"/>
      <c r="Z81" s="53"/>
      <c r="AA81" s="54">
        <f t="shared" si="71"/>
        <v>0</v>
      </c>
      <c r="AB81" s="55" t="s">
        <v>99</v>
      </c>
    </row>
    <row r="82" spans="1:28" x14ac:dyDescent="0.2">
      <c r="A82" s="42"/>
      <c r="B82" s="43"/>
      <c r="C82" s="43"/>
      <c r="D82" s="97" t="str">
        <f t="shared" si="66"/>
        <v/>
      </c>
      <c r="E82" s="36" t="s">
        <v>5</v>
      </c>
      <c r="F82" s="36"/>
      <c r="G82" s="44"/>
      <c r="H82" s="45"/>
      <c r="I82" s="44"/>
      <c r="J82" s="46"/>
      <c r="K82" s="47">
        <f t="shared" si="67"/>
        <v>0</v>
      </c>
      <c r="L82" s="103">
        <f t="shared" si="68"/>
        <v>0</v>
      </c>
      <c r="M82" s="48"/>
      <c r="N82" s="49">
        <f t="shared" si="69"/>
        <v>0</v>
      </c>
      <c r="O82" s="49">
        <f t="shared" si="70"/>
        <v>0</v>
      </c>
      <c r="P82" s="50"/>
      <c r="Q82" s="50"/>
      <c r="R82" s="118"/>
      <c r="S82" s="146"/>
      <c r="T82" s="36"/>
      <c r="U82" s="36"/>
      <c r="V82" s="38"/>
      <c r="W82" s="51"/>
      <c r="X82" s="62" t="str">
        <f>IFERROR(INDEX('GİRİŞ ANALİZİ'!$D:$D, MATCH($W82,'GİRİŞ ANALİZİ'!$B:$B, 0)),"Bulunamadı")</f>
        <v>Bulunamadı</v>
      </c>
      <c r="Y82" s="52"/>
      <c r="Z82" s="53"/>
      <c r="AA82" s="54">
        <f t="shared" si="71"/>
        <v>0</v>
      </c>
      <c r="AB82" s="55" t="s">
        <v>99</v>
      </c>
    </row>
    <row r="83" spans="1:28" x14ac:dyDescent="0.2">
      <c r="A83" s="42"/>
      <c r="B83" s="43"/>
      <c r="C83" s="43"/>
      <c r="D83" s="97" t="str">
        <f t="shared" si="66"/>
        <v/>
      </c>
      <c r="E83" s="36" t="s">
        <v>5</v>
      </c>
      <c r="F83" s="36"/>
      <c r="G83" s="44"/>
      <c r="H83" s="45"/>
      <c r="I83" s="44"/>
      <c r="J83" s="46"/>
      <c r="K83" s="47">
        <f t="shared" si="67"/>
        <v>0</v>
      </c>
      <c r="L83" s="103">
        <f t="shared" si="68"/>
        <v>0</v>
      </c>
      <c r="M83" s="48"/>
      <c r="N83" s="49">
        <f t="shared" si="69"/>
        <v>0</v>
      </c>
      <c r="O83" s="49">
        <f t="shared" si="70"/>
        <v>0</v>
      </c>
      <c r="P83" s="50"/>
      <c r="Q83" s="50"/>
      <c r="R83" s="118"/>
      <c r="S83" s="146"/>
      <c r="T83" s="36"/>
      <c r="U83" s="36"/>
      <c r="V83" s="38"/>
      <c r="W83" s="51"/>
      <c r="X83" s="62" t="str">
        <f>IFERROR(INDEX('GİRİŞ ANALİZİ'!$D:$D, MATCH($W83,'GİRİŞ ANALİZİ'!$B:$B, 0)),"Bulunamadı")</f>
        <v>Bulunamadı</v>
      </c>
      <c r="Y83" s="52"/>
      <c r="Z83" s="53"/>
      <c r="AA83" s="54">
        <f t="shared" si="71"/>
        <v>0</v>
      </c>
      <c r="AB83" s="55" t="s">
        <v>99</v>
      </c>
    </row>
    <row r="84" spans="1:28" x14ac:dyDescent="0.2">
      <c r="A84" s="42"/>
      <c r="B84" s="43"/>
      <c r="C84" s="43"/>
      <c r="D84" s="97" t="str">
        <f t="shared" si="66"/>
        <v/>
      </c>
      <c r="E84" s="36" t="s">
        <v>5</v>
      </c>
      <c r="F84" s="36"/>
      <c r="G84" s="44"/>
      <c r="H84" s="45"/>
      <c r="I84" s="44"/>
      <c r="J84" s="46"/>
      <c r="K84" s="47">
        <f t="shared" si="67"/>
        <v>0</v>
      </c>
      <c r="L84" s="103">
        <f t="shared" si="68"/>
        <v>0</v>
      </c>
      <c r="M84" s="48"/>
      <c r="N84" s="49">
        <f t="shared" si="69"/>
        <v>0</v>
      </c>
      <c r="O84" s="49">
        <f t="shared" si="70"/>
        <v>0</v>
      </c>
      <c r="P84" s="50"/>
      <c r="Q84" s="50"/>
      <c r="R84" s="118"/>
      <c r="S84" s="146"/>
      <c r="T84" s="36"/>
      <c r="U84" s="36"/>
      <c r="V84" s="38"/>
      <c r="W84" s="51"/>
      <c r="X84" s="62" t="str">
        <f>IFERROR(INDEX('GİRİŞ ANALİZİ'!$D:$D, MATCH($W84,'GİRİŞ ANALİZİ'!$B:$B, 0)),"Bulunamadı")</f>
        <v>Bulunamadı</v>
      </c>
      <c r="Y84" s="52"/>
      <c r="Z84" s="53"/>
      <c r="AA84" s="54">
        <f t="shared" si="71"/>
        <v>0</v>
      </c>
      <c r="AB84" s="55" t="s">
        <v>99</v>
      </c>
    </row>
    <row r="85" spans="1:28" x14ac:dyDescent="0.2">
      <c r="A85" s="42"/>
      <c r="B85" s="43"/>
      <c r="C85" s="43"/>
      <c r="D85" s="97" t="str">
        <f t="shared" si="66"/>
        <v/>
      </c>
      <c r="E85" s="36" t="s">
        <v>5</v>
      </c>
      <c r="F85" s="36"/>
      <c r="G85" s="44"/>
      <c r="H85" s="45"/>
      <c r="I85" s="44"/>
      <c r="J85" s="46"/>
      <c r="K85" s="47">
        <f t="shared" si="67"/>
        <v>0</v>
      </c>
      <c r="L85" s="103">
        <f t="shared" si="68"/>
        <v>0</v>
      </c>
      <c r="M85" s="48"/>
      <c r="N85" s="49">
        <f t="shared" si="69"/>
        <v>0</v>
      </c>
      <c r="O85" s="49">
        <f t="shared" si="70"/>
        <v>0</v>
      </c>
      <c r="P85" s="50"/>
      <c r="Q85" s="50"/>
      <c r="R85" s="118"/>
      <c r="S85" s="146"/>
      <c r="T85" s="36"/>
      <c r="U85" s="36"/>
      <c r="V85" s="38"/>
      <c r="W85" s="51"/>
      <c r="X85" s="62" t="str">
        <f>IFERROR(INDEX('GİRİŞ ANALİZİ'!$D:$D, MATCH($W85,'GİRİŞ ANALİZİ'!$B:$B, 0)),"Bulunamadı")</f>
        <v>Bulunamadı</v>
      </c>
      <c r="Y85" s="52"/>
      <c r="Z85" s="53"/>
      <c r="AA85" s="54">
        <f t="shared" si="71"/>
        <v>0</v>
      </c>
      <c r="AB85" s="55" t="s">
        <v>99</v>
      </c>
    </row>
    <row r="86" spans="1:28" x14ac:dyDescent="0.2">
      <c r="A86" s="42"/>
      <c r="B86" s="43"/>
      <c r="C86" s="43"/>
      <c r="D86" s="97" t="str">
        <f t="shared" si="66"/>
        <v/>
      </c>
      <c r="E86" s="36" t="s">
        <v>5</v>
      </c>
      <c r="F86" s="36"/>
      <c r="G86" s="44"/>
      <c r="H86" s="45"/>
      <c r="I86" s="44"/>
      <c r="J86" s="46"/>
      <c r="K86" s="47">
        <f t="shared" si="67"/>
        <v>0</v>
      </c>
      <c r="L86" s="103">
        <f t="shared" si="68"/>
        <v>0</v>
      </c>
      <c r="M86" s="48"/>
      <c r="N86" s="49">
        <f t="shared" si="69"/>
        <v>0</v>
      </c>
      <c r="O86" s="49">
        <f t="shared" si="70"/>
        <v>0</v>
      </c>
      <c r="P86" s="50"/>
      <c r="Q86" s="50"/>
      <c r="R86" s="118"/>
      <c r="S86" s="146"/>
      <c r="T86" s="36"/>
      <c r="U86" s="36"/>
      <c r="V86" s="38"/>
      <c r="W86" s="51"/>
      <c r="X86" s="62" t="str">
        <f>IFERROR(INDEX('GİRİŞ ANALİZİ'!$D:$D, MATCH($W86,'GİRİŞ ANALİZİ'!$B:$B, 0)),"Bulunamadı")</f>
        <v>Bulunamadı</v>
      </c>
      <c r="Y86" s="52"/>
      <c r="Z86" s="53"/>
      <c r="AA86" s="54">
        <f t="shared" si="71"/>
        <v>0</v>
      </c>
      <c r="AB86" s="55" t="s">
        <v>99</v>
      </c>
    </row>
    <row r="87" spans="1:28" x14ac:dyDescent="0.2">
      <c r="A87" s="42"/>
      <c r="B87" s="43"/>
      <c r="C87" s="43"/>
      <c r="D87" s="97" t="str">
        <f t="shared" si="66"/>
        <v/>
      </c>
      <c r="E87" s="36" t="s">
        <v>5</v>
      </c>
      <c r="F87" s="36"/>
      <c r="G87" s="44"/>
      <c r="H87" s="45"/>
      <c r="I87" s="44"/>
      <c r="J87" s="46"/>
      <c r="K87" s="47">
        <f t="shared" si="67"/>
        <v>0</v>
      </c>
      <c r="L87" s="103">
        <f t="shared" si="68"/>
        <v>0</v>
      </c>
      <c r="M87" s="48"/>
      <c r="N87" s="49">
        <f t="shared" si="69"/>
        <v>0</v>
      </c>
      <c r="O87" s="49">
        <f t="shared" si="70"/>
        <v>0</v>
      </c>
      <c r="P87" s="50"/>
      <c r="Q87" s="50"/>
      <c r="R87" s="118"/>
      <c r="S87" s="146"/>
      <c r="T87" s="36"/>
      <c r="U87" s="36"/>
      <c r="V87" s="38"/>
      <c r="W87" s="51"/>
      <c r="X87" s="62" t="str">
        <f>IFERROR(INDEX('GİRİŞ ANALİZİ'!$D:$D, MATCH($W87,'GİRİŞ ANALİZİ'!$B:$B, 0)),"Bulunamadı")</f>
        <v>Bulunamadı</v>
      </c>
      <c r="Y87" s="52"/>
      <c r="Z87" s="53"/>
      <c r="AA87" s="54">
        <f t="shared" si="71"/>
        <v>0</v>
      </c>
      <c r="AB87" s="55" t="s">
        <v>99</v>
      </c>
    </row>
    <row r="88" spans="1:28" x14ac:dyDescent="0.2">
      <c r="A88" s="42"/>
      <c r="B88" s="43"/>
      <c r="C88" s="43"/>
      <c r="D88" s="97" t="str">
        <f t="shared" si="66"/>
        <v/>
      </c>
      <c r="E88" s="36" t="s">
        <v>5</v>
      </c>
      <c r="F88" s="36"/>
      <c r="G88" s="44"/>
      <c r="H88" s="45"/>
      <c r="I88" s="44"/>
      <c r="J88" s="46"/>
      <c r="K88" s="47">
        <f t="shared" si="67"/>
        <v>0</v>
      </c>
      <c r="L88" s="103">
        <f t="shared" si="68"/>
        <v>0</v>
      </c>
      <c r="M88" s="48"/>
      <c r="N88" s="49">
        <f t="shared" si="69"/>
        <v>0</v>
      </c>
      <c r="O88" s="49">
        <f t="shared" si="70"/>
        <v>0</v>
      </c>
      <c r="P88" s="50"/>
      <c r="Q88" s="50"/>
      <c r="R88" s="118"/>
      <c r="S88" s="146"/>
      <c r="T88" s="36"/>
      <c r="U88" s="36"/>
      <c r="V88" s="38"/>
      <c r="W88" s="51"/>
      <c r="X88" s="62" t="str">
        <f>IFERROR(INDEX('GİRİŞ ANALİZİ'!$D:$D, MATCH($W88,'GİRİŞ ANALİZİ'!$B:$B, 0)),"Bulunamadı")</f>
        <v>Bulunamadı</v>
      </c>
      <c r="Y88" s="52"/>
      <c r="Z88" s="53"/>
      <c r="AA88" s="54">
        <f t="shared" si="71"/>
        <v>0</v>
      </c>
      <c r="AB88" s="55" t="s">
        <v>99</v>
      </c>
    </row>
    <row r="89" spans="1:28" x14ac:dyDescent="0.2">
      <c r="A89" s="42"/>
      <c r="B89" s="43"/>
      <c r="C89" s="43"/>
      <c r="D89" s="97" t="str">
        <f t="shared" si="66"/>
        <v/>
      </c>
      <c r="E89" s="36" t="s">
        <v>5</v>
      </c>
      <c r="F89" s="36"/>
      <c r="G89" s="44"/>
      <c r="H89" s="45"/>
      <c r="I89" s="44"/>
      <c r="J89" s="46"/>
      <c r="K89" s="47">
        <f t="shared" si="67"/>
        <v>0</v>
      </c>
      <c r="L89" s="103">
        <f t="shared" si="68"/>
        <v>0</v>
      </c>
      <c r="M89" s="48"/>
      <c r="N89" s="49">
        <f t="shared" si="69"/>
        <v>0</v>
      </c>
      <c r="O89" s="49">
        <f t="shared" si="70"/>
        <v>0</v>
      </c>
      <c r="P89" s="50"/>
      <c r="Q89" s="50"/>
      <c r="R89" s="118"/>
      <c r="S89" s="146"/>
      <c r="T89" s="36"/>
      <c r="U89" s="36"/>
      <c r="V89" s="38"/>
      <c r="W89" s="51"/>
      <c r="X89" s="62" t="str">
        <f>IFERROR(INDEX('GİRİŞ ANALİZİ'!$D:$D, MATCH($W89,'GİRİŞ ANALİZİ'!$B:$B, 0)),"Bulunamadı")</f>
        <v>Bulunamadı</v>
      </c>
      <c r="Y89" s="52"/>
      <c r="Z89" s="53"/>
      <c r="AA89" s="54">
        <f t="shared" si="71"/>
        <v>0</v>
      </c>
      <c r="AB89" s="55" t="s">
        <v>99</v>
      </c>
    </row>
    <row r="90" spans="1:28" x14ac:dyDescent="0.2">
      <c r="A90" s="42"/>
      <c r="B90" s="43"/>
      <c r="C90" s="43"/>
      <c r="D90" s="97" t="str">
        <f t="shared" si="66"/>
        <v/>
      </c>
      <c r="E90" s="36" t="s">
        <v>5</v>
      </c>
      <c r="F90" s="36"/>
      <c r="G90" s="44"/>
      <c r="H90" s="45"/>
      <c r="I90" s="44"/>
      <c r="J90" s="46"/>
      <c r="K90" s="47">
        <f t="shared" si="67"/>
        <v>0</v>
      </c>
      <c r="L90" s="103">
        <f t="shared" si="68"/>
        <v>0</v>
      </c>
      <c r="M90" s="48"/>
      <c r="N90" s="49">
        <f t="shared" si="69"/>
        <v>0</v>
      </c>
      <c r="O90" s="49">
        <f t="shared" si="70"/>
        <v>0</v>
      </c>
      <c r="P90" s="50"/>
      <c r="Q90" s="50"/>
      <c r="R90" s="118"/>
      <c r="S90" s="146"/>
      <c r="T90" s="36"/>
      <c r="U90" s="36"/>
      <c r="V90" s="38"/>
      <c r="W90" s="51"/>
      <c r="X90" s="62" t="str">
        <f>IFERROR(INDEX('GİRİŞ ANALİZİ'!$D:$D, MATCH($W90,'GİRİŞ ANALİZİ'!$B:$B, 0)),"Bulunamadı")</f>
        <v>Bulunamadı</v>
      </c>
      <c r="Y90" s="52"/>
      <c r="Z90" s="53"/>
      <c r="AA90" s="54">
        <f t="shared" si="71"/>
        <v>0</v>
      </c>
      <c r="AB90" s="55" t="s">
        <v>99</v>
      </c>
    </row>
    <row r="91" spans="1:28" x14ac:dyDescent="0.2">
      <c r="A91" s="42"/>
      <c r="B91" s="43"/>
      <c r="C91" s="43"/>
      <c r="D91" s="97" t="str">
        <f t="shared" si="66"/>
        <v/>
      </c>
      <c r="E91" s="36" t="s">
        <v>5</v>
      </c>
      <c r="F91" s="36"/>
      <c r="G91" s="44"/>
      <c r="H91" s="45"/>
      <c r="I91" s="44"/>
      <c r="J91" s="46"/>
      <c r="K91" s="47">
        <f t="shared" si="67"/>
        <v>0</v>
      </c>
      <c r="L91" s="103">
        <f t="shared" si="68"/>
        <v>0</v>
      </c>
      <c r="M91" s="48"/>
      <c r="N91" s="49">
        <f t="shared" si="69"/>
        <v>0</v>
      </c>
      <c r="O91" s="49">
        <f t="shared" si="70"/>
        <v>0</v>
      </c>
      <c r="P91" s="50"/>
      <c r="Q91" s="50"/>
      <c r="R91" s="118"/>
      <c r="S91" s="146"/>
      <c r="T91" s="36"/>
      <c r="U91" s="36"/>
      <c r="V91" s="38"/>
      <c r="W91" s="51"/>
      <c r="X91" s="62" t="str">
        <f>IFERROR(INDEX('GİRİŞ ANALİZİ'!$D:$D, MATCH($W91,'GİRİŞ ANALİZİ'!$B:$B, 0)),"Bulunamadı")</f>
        <v>Bulunamadı</v>
      </c>
      <c r="Y91" s="52"/>
      <c r="Z91" s="53"/>
      <c r="AA91" s="54">
        <f t="shared" si="71"/>
        <v>0</v>
      </c>
      <c r="AB91" s="55" t="s">
        <v>99</v>
      </c>
    </row>
    <row r="92" spans="1:28" x14ac:dyDescent="0.2">
      <c r="A92" s="42"/>
      <c r="B92" s="43"/>
      <c r="C92" s="43"/>
      <c r="D92" s="97" t="str">
        <f t="shared" si="66"/>
        <v/>
      </c>
      <c r="E92" s="36" t="s">
        <v>5</v>
      </c>
      <c r="F92" s="36"/>
      <c r="G92" s="44"/>
      <c r="H92" s="45"/>
      <c r="I92" s="44"/>
      <c r="J92" s="46"/>
      <c r="K92" s="47">
        <f t="shared" si="67"/>
        <v>0</v>
      </c>
      <c r="L92" s="103">
        <f t="shared" si="68"/>
        <v>0</v>
      </c>
      <c r="M92" s="48"/>
      <c r="N92" s="49">
        <f t="shared" si="69"/>
        <v>0</v>
      </c>
      <c r="O92" s="49">
        <f t="shared" si="70"/>
        <v>0</v>
      </c>
      <c r="P92" s="50"/>
      <c r="Q92" s="50"/>
      <c r="R92" s="118"/>
      <c r="S92" s="146"/>
      <c r="T92" s="36"/>
      <c r="U92" s="36"/>
      <c r="V92" s="38"/>
      <c r="W92" s="51"/>
      <c r="X92" s="62" t="str">
        <f>IFERROR(INDEX('GİRİŞ ANALİZİ'!$D:$D, MATCH($W92,'GİRİŞ ANALİZİ'!$B:$B, 0)),"Bulunamadı")</f>
        <v>Bulunamadı</v>
      </c>
      <c r="Y92" s="52"/>
      <c r="Z92" s="53"/>
      <c r="AA92" s="54">
        <f t="shared" si="71"/>
        <v>0</v>
      </c>
      <c r="AB92" s="55" t="s">
        <v>99</v>
      </c>
    </row>
    <row r="93" spans="1:28" x14ac:dyDescent="0.2">
      <c r="A93" s="42"/>
      <c r="B93" s="43"/>
      <c r="C93" s="43"/>
      <c r="D93" s="97" t="str">
        <f t="shared" si="66"/>
        <v/>
      </c>
      <c r="E93" s="36" t="s">
        <v>5</v>
      </c>
      <c r="F93" s="36"/>
      <c r="G93" s="44"/>
      <c r="H93" s="45"/>
      <c r="I93" s="44"/>
      <c r="J93" s="46"/>
      <c r="K93" s="47">
        <f t="shared" si="67"/>
        <v>0</v>
      </c>
      <c r="L93" s="103">
        <f t="shared" si="68"/>
        <v>0</v>
      </c>
      <c r="M93" s="48"/>
      <c r="N93" s="49">
        <f t="shared" si="69"/>
        <v>0</v>
      </c>
      <c r="O93" s="49">
        <f t="shared" si="70"/>
        <v>0</v>
      </c>
      <c r="P93" s="50"/>
      <c r="Q93" s="50"/>
      <c r="R93" s="118"/>
      <c r="S93" s="146"/>
      <c r="T93" s="36"/>
      <c r="U93" s="36"/>
      <c r="V93" s="38"/>
      <c r="W93" s="51"/>
      <c r="X93" s="62" t="str">
        <f>IFERROR(INDEX('GİRİŞ ANALİZİ'!$D:$D, MATCH($W93,'GİRİŞ ANALİZİ'!$B:$B, 0)),"Bulunamadı")</f>
        <v>Bulunamadı</v>
      </c>
      <c r="Y93" s="52"/>
      <c r="Z93" s="53"/>
      <c r="AA93" s="54">
        <f t="shared" si="71"/>
        <v>0</v>
      </c>
      <c r="AB93" s="55" t="s">
        <v>99</v>
      </c>
    </row>
    <row r="94" spans="1:28" x14ac:dyDescent="0.2">
      <c r="A94" s="42"/>
      <c r="B94" s="43"/>
      <c r="C94" s="43"/>
      <c r="D94" s="97" t="str">
        <f t="shared" si="66"/>
        <v/>
      </c>
      <c r="E94" s="36" t="s">
        <v>5</v>
      </c>
      <c r="F94" s="36"/>
      <c r="G94" s="44"/>
      <c r="H94" s="45"/>
      <c r="I94" s="44"/>
      <c r="J94" s="46"/>
      <c r="K94" s="47">
        <f t="shared" si="67"/>
        <v>0</v>
      </c>
      <c r="L94" s="103">
        <f t="shared" si="68"/>
        <v>0</v>
      </c>
      <c r="M94" s="48"/>
      <c r="N94" s="49">
        <f t="shared" si="69"/>
        <v>0</v>
      </c>
      <c r="O94" s="49">
        <f t="shared" si="70"/>
        <v>0</v>
      </c>
      <c r="P94" s="50"/>
      <c r="Q94" s="50"/>
      <c r="R94" s="118"/>
      <c r="S94" s="146"/>
      <c r="T94" s="36"/>
      <c r="U94" s="36"/>
      <c r="V94" s="38"/>
      <c r="W94" s="51"/>
      <c r="X94" s="62" t="str">
        <f>IFERROR(INDEX('GİRİŞ ANALİZİ'!$D:$D, MATCH($W94,'GİRİŞ ANALİZİ'!$B:$B, 0)),"Bulunamadı")</f>
        <v>Bulunamadı</v>
      </c>
      <c r="Y94" s="52"/>
      <c r="Z94" s="53"/>
      <c r="AA94" s="54">
        <f t="shared" si="71"/>
        <v>0</v>
      </c>
      <c r="AB94" s="55" t="s">
        <v>99</v>
      </c>
    </row>
    <row r="95" spans="1:28" x14ac:dyDescent="0.2">
      <c r="A95" s="42"/>
      <c r="B95" s="43"/>
      <c r="C95" s="43"/>
      <c r="D95" s="97" t="str">
        <f t="shared" si="66"/>
        <v/>
      </c>
      <c r="E95" s="36" t="s">
        <v>5</v>
      </c>
      <c r="F95" s="36"/>
      <c r="G95" s="44"/>
      <c r="H95" s="45"/>
      <c r="I95" s="44"/>
      <c r="J95" s="46"/>
      <c r="K95" s="47">
        <f t="shared" si="67"/>
        <v>0</v>
      </c>
      <c r="L95" s="103">
        <f t="shared" si="68"/>
        <v>0</v>
      </c>
      <c r="M95" s="48"/>
      <c r="N95" s="49">
        <f t="shared" si="69"/>
        <v>0</v>
      </c>
      <c r="O95" s="49">
        <f t="shared" si="70"/>
        <v>0</v>
      </c>
      <c r="P95" s="50"/>
      <c r="Q95" s="50"/>
      <c r="R95" s="118"/>
      <c r="S95" s="146"/>
      <c r="T95" s="36"/>
      <c r="U95" s="36"/>
      <c r="V95" s="38"/>
      <c r="W95" s="51"/>
      <c r="X95" s="62" t="str">
        <f>IFERROR(INDEX('GİRİŞ ANALİZİ'!$D:$D, MATCH($W95,'GİRİŞ ANALİZİ'!$B:$B, 0)),"Bulunamadı")</f>
        <v>Bulunamadı</v>
      </c>
      <c r="Y95" s="52"/>
      <c r="Z95" s="53"/>
      <c r="AA95" s="54">
        <f t="shared" si="71"/>
        <v>0</v>
      </c>
      <c r="AB95" s="55" t="s">
        <v>99</v>
      </c>
    </row>
    <row r="96" spans="1:28" x14ac:dyDescent="0.2">
      <c r="A96" s="42"/>
      <c r="B96" s="43"/>
      <c r="C96" s="43"/>
      <c r="D96" s="97" t="str">
        <f t="shared" si="66"/>
        <v/>
      </c>
      <c r="E96" s="36" t="s">
        <v>5</v>
      </c>
      <c r="F96" s="36"/>
      <c r="G96" s="44"/>
      <c r="H96" s="45"/>
      <c r="I96" s="44"/>
      <c r="J96" s="46"/>
      <c r="K96" s="47">
        <f t="shared" si="67"/>
        <v>0</v>
      </c>
      <c r="L96" s="103">
        <f t="shared" si="68"/>
        <v>0</v>
      </c>
      <c r="M96" s="48"/>
      <c r="N96" s="49">
        <f t="shared" si="69"/>
        <v>0</v>
      </c>
      <c r="O96" s="49">
        <f t="shared" si="70"/>
        <v>0</v>
      </c>
      <c r="P96" s="50"/>
      <c r="Q96" s="50"/>
      <c r="R96" s="118"/>
      <c r="S96" s="146"/>
      <c r="T96" s="36"/>
      <c r="U96" s="36"/>
      <c r="V96" s="38"/>
      <c r="W96" s="51"/>
      <c r="X96" s="62" t="str">
        <f>IFERROR(INDEX('GİRİŞ ANALİZİ'!$D:$D, MATCH($W96,'GİRİŞ ANALİZİ'!$B:$B, 0)),"Bulunamadı")</f>
        <v>Bulunamadı</v>
      </c>
      <c r="Y96" s="52"/>
      <c r="Z96" s="53"/>
      <c r="AA96" s="54">
        <f t="shared" si="71"/>
        <v>0</v>
      </c>
      <c r="AB96" s="55" t="s">
        <v>99</v>
      </c>
    </row>
    <row r="97" spans="1:28" x14ac:dyDescent="0.2">
      <c r="A97" s="42"/>
      <c r="B97" s="43"/>
      <c r="C97" s="43"/>
      <c r="D97" s="97" t="str">
        <f t="shared" si="66"/>
        <v/>
      </c>
      <c r="E97" s="36" t="s">
        <v>5</v>
      </c>
      <c r="F97" s="36"/>
      <c r="G97" s="44"/>
      <c r="H97" s="45"/>
      <c r="I97" s="44"/>
      <c r="J97" s="46"/>
      <c r="K97" s="47">
        <f t="shared" si="67"/>
        <v>0</v>
      </c>
      <c r="L97" s="103">
        <f t="shared" si="68"/>
        <v>0</v>
      </c>
      <c r="M97" s="48"/>
      <c r="N97" s="49">
        <f t="shared" si="69"/>
        <v>0</v>
      </c>
      <c r="O97" s="49">
        <f t="shared" si="70"/>
        <v>0</v>
      </c>
      <c r="P97" s="50"/>
      <c r="Q97" s="50"/>
      <c r="R97" s="118"/>
      <c r="S97" s="146"/>
      <c r="T97" s="36"/>
      <c r="U97" s="36"/>
      <c r="V97" s="38"/>
      <c r="W97" s="51"/>
      <c r="X97" s="62" t="str">
        <f>IFERROR(INDEX('GİRİŞ ANALİZİ'!$D:$D, MATCH($W97,'GİRİŞ ANALİZİ'!$B:$B, 0)),"Bulunamadı")</f>
        <v>Bulunamadı</v>
      </c>
      <c r="Y97" s="52"/>
      <c r="Z97" s="53"/>
      <c r="AA97" s="54">
        <f t="shared" si="71"/>
        <v>0</v>
      </c>
      <c r="AB97" s="55" t="s">
        <v>99</v>
      </c>
    </row>
    <row r="98" spans="1:28" x14ac:dyDescent="0.2">
      <c r="A98" s="42"/>
      <c r="B98" s="43"/>
      <c r="C98" s="43"/>
      <c r="D98" s="97" t="str">
        <f t="shared" si="66"/>
        <v/>
      </c>
      <c r="E98" s="36" t="s">
        <v>5</v>
      </c>
      <c r="F98" s="36"/>
      <c r="G98" s="44"/>
      <c r="H98" s="45"/>
      <c r="I98" s="44"/>
      <c r="J98" s="46"/>
      <c r="K98" s="47">
        <f t="shared" si="67"/>
        <v>0</v>
      </c>
      <c r="L98" s="103">
        <f t="shared" si="68"/>
        <v>0</v>
      </c>
      <c r="M98" s="48"/>
      <c r="N98" s="49">
        <f t="shared" si="69"/>
        <v>0</v>
      </c>
      <c r="O98" s="49">
        <f t="shared" si="70"/>
        <v>0</v>
      </c>
      <c r="P98" s="50"/>
      <c r="Q98" s="50"/>
      <c r="R98" s="118"/>
      <c r="S98" s="146"/>
      <c r="T98" s="36"/>
      <c r="U98" s="36"/>
      <c r="V98" s="38"/>
      <c r="W98" s="51"/>
      <c r="X98" s="62" t="str">
        <f>IFERROR(INDEX('GİRİŞ ANALİZİ'!$D:$D, MATCH($W98,'GİRİŞ ANALİZİ'!$B:$B, 0)),"Bulunamadı")</f>
        <v>Bulunamadı</v>
      </c>
      <c r="Y98" s="52"/>
      <c r="Z98" s="53"/>
      <c r="AA98" s="54">
        <f t="shared" si="71"/>
        <v>0</v>
      </c>
      <c r="AB98" s="55" t="s">
        <v>99</v>
      </c>
    </row>
    <row r="99" spans="1:28" x14ac:dyDescent="0.2">
      <c r="A99" s="42"/>
      <c r="B99" s="43"/>
      <c r="C99" s="43"/>
      <c r="D99" s="97" t="str">
        <f t="shared" si="66"/>
        <v/>
      </c>
      <c r="E99" s="36" t="s">
        <v>5</v>
      </c>
      <c r="F99" s="36"/>
      <c r="G99" s="44"/>
      <c r="H99" s="45"/>
      <c r="I99" s="44"/>
      <c r="J99" s="46"/>
      <c r="K99" s="47">
        <f t="shared" si="67"/>
        <v>0</v>
      </c>
      <c r="L99" s="103">
        <f t="shared" si="68"/>
        <v>0</v>
      </c>
      <c r="M99" s="48"/>
      <c r="N99" s="49">
        <f t="shared" si="69"/>
        <v>0</v>
      </c>
      <c r="O99" s="49">
        <f t="shared" si="70"/>
        <v>0</v>
      </c>
      <c r="P99" s="50"/>
      <c r="Q99" s="50"/>
      <c r="R99" s="118"/>
      <c r="S99" s="146"/>
      <c r="T99" s="36"/>
      <c r="U99" s="36"/>
      <c r="V99" s="38"/>
      <c r="W99" s="51"/>
      <c r="X99" s="62" t="str">
        <f>IFERROR(INDEX('GİRİŞ ANALİZİ'!$D:$D, MATCH($W99,'GİRİŞ ANALİZİ'!$B:$B, 0)),"Bulunamadı")</f>
        <v>Bulunamadı</v>
      </c>
      <c r="Y99" s="52"/>
      <c r="Z99" s="53"/>
      <c r="AA99" s="54">
        <f t="shared" si="71"/>
        <v>0</v>
      </c>
      <c r="AB99" s="55" t="s">
        <v>99</v>
      </c>
    </row>
    <row r="100" spans="1:28" x14ac:dyDescent="0.2">
      <c r="A100" s="42"/>
      <c r="B100" s="43"/>
      <c r="C100" s="43"/>
      <c r="D100" s="97" t="str">
        <f t="shared" si="66"/>
        <v/>
      </c>
      <c r="E100" s="36" t="s">
        <v>5</v>
      </c>
      <c r="F100" s="36"/>
      <c r="G100" s="44"/>
      <c r="H100" s="45"/>
      <c r="I100" s="44"/>
      <c r="J100" s="46"/>
      <c r="K100" s="47">
        <f t="shared" si="67"/>
        <v>0</v>
      </c>
      <c r="L100" s="103">
        <f t="shared" si="68"/>
        <v>0</v>
      </c>
      <c r="M100" s="48"/>
      <c r="N100" s="49">
        <f t="shared" si="69"/>
        <v>0</v>
      </c>
      <c r="O100" s="49">
        <f t="shared" si="70"/>
        <v>0</v>
      </c>
      <c r="P100" s="50"/>
      <c r="Q100" s="50"/>
      <c r="R100" s="118"/>
      <c r="S100" s="146"/>
      <c r="T100" s="36"/>
      <c r="U100" s="36"/>
      <c r="V100" s="38"/>
      <c r="W100" s="51"/>
      <c r="X100" s="62" t="str">
        <f>IFERROR(INDEX('GİRİŞ ANALİZİ'!$D:$D, MATCH($W100,'GİRİŞ ANALİZİ'!$B:$B, 0)),"Bulunamadı")</f>
        <v>Bulunamadı</v>
      </c>
      <c r="Y100" s="52"/>
      <c r="Z100" s="53"/>
      <c r="AA100" s="54">
        <f t="shared" si="71"/>
        <v>0</v>
      </c>
      <c r="AB100" s="55" t="s">
        <v>99</v>
      </c>
    </row>
    <row r="101" spans="1:28" x14ac:dyDescent="0.2">
      <c r="D101" s="97" t="str">
        <f t="shared" si="59"/>
        <v/>
      </c>
      <c r="X101" s="62" t="str">
        <f>IFERROR(INDEX('GİRİŞ ANALİZİ'!$D:$D, MATCH($W101,'GİRİŞ ANALİZİ'!$B:$B, 0)),"Bulunamadı")</f>
        <v>Bulunamadı</v>
      </c>
    </row>
    <row r="102" spans="1:28" x14ac:dyDescent="0.2">
      <c r="D102" s="97" t="str">
        <f t="shared" si="59"/>
        <v/>
      </c>
      <c r="X102" s="62" t="str">
        <f>IFERROR(INDEX('GİRİŞ ANALİZİ'!$D:$D, MATCH($W102,'GİRİŞ ANALİZİ'!$B:$B, 0)),"Bulunamadı")</f>
        <v>Bulunamadı</v>
      </c>
    </row>
    <row r="103" spans="1:28" x14ac:dyDescent="0.2">
      <c r="D103" s="97" t="str">
        <f t="shared" si="59"/>
        <v/>
      </c>
      <c r="X103" s="62" t="str">
        <f>IFERROR(INDEX('GİRİŞ ANALİZİ'!$D:$D, MATCH($W103,'GİRİŞ ANALİZİ'!$B:$B, 0)),"Bulunamadı")</f>
        <v>Bulunamadı</v>
      </c>
    </row>
    <row r="104" spans="1:28" x14ac:dyDescent="0.2">
      <c r="D104" s="97" t="str">
        <f t="shared" si="59"/>
        <v/>
      </c>
      <c r="X104" s="62" t="str">
        <f>IFERROR(INDEX('GİRİŞ ANALİZİ'!$D:$D, MATCH($W104,'GİRİŞ ANALİZİ'!$B:$B, 0)),"Bulunamadı")</f>
        <v>Bulunamadı</v>
      </c>
    </row>
    <row r="105" spans="1:28" x14ac:dyDescent="0.2">
      <c r="D105" s="97" t="str">
        <f t="shared" si="59"/>
        <v/>
      </c>
      <c r="X105" s="62" t="str">
        <f>IFERROR(INDEX('GİRİŞ ANALİZİ'!$D:$D, MATCH($W105,'GİRİŞ ANALİZİ'!$B:$B, 0)),"Bulunamadı")</f>
        <v>Bulunamadı</v>
      </c>
    </row>
    <row r="106" spans="1:28" x14ac:dyDescent="0.2">
      <c r="D106" s="97" t="str">
        <f t="shared" si="59"/>
        <v/>
      </c>
      <c r="X106" s="62" t="str">
        <f>IFERROR(INDEX('GİRİŞ ANALİZİ'!$D:$D, MATCH($W106,'GİRİŞ ANALİZİ'!$B:$B, 0)),"Bulunamadı")</f>
        <v>Bulunamadı</v>
      </c>
    </row>
    <row r="107" spans="1:28" x14ac:dyDescent="0.2">
      <c r="D107" s="97" t="str">
        <f t="shared" si="59"/>
        <v/>
      </c>
      <c r="X107" s="62" t="str">
        <f>IFERROR(INDEX('GİRİŞ ANALİZİ'!$D:$D, MATCH($W107,'GİRİŞ ANALİZİ'!$B:$B, 0)),"Bulunamadı")</f>
        <v>Bulunamadı</v>
      </c>
    </row>
    <row r="108" spans="1:28" x14ac:dyDescent="0.2">
      <c r="D108" s="97" t="str">
        <f t="shared" si="59"/>
        <v/>
      </c>
      <c r="X108" s="62" t="str">
        <f>IFERROR(INDEX('GİRİŞ ANALİZİ'!$D:$D, MATCH($W108,'GİRİŞ ANALİZİ'!$B:$B, 0)),"Bulunamadı")</f>
        <v>Bulunamadı</v>
      </c>
    </row>
    <row r="109" spans="1:28" x14ac:dyDescent="0.2">
      <c r="D109" s="97" t="str">
        <f t="shared" si="59"/>
        <v/>
      </c>
      <c r="X109" s="62" t="str">
        <f>IFERROR(INDEX('GİRİŞ ANALİZİ'!$D:$D, MATCH($W109,'GİRİŞ ANALİZİ'!$B:$B, 0)),"Bulunamadı")</f>
        <v>Bulunamadı</v>
      </c>
    </row>
    <row r="110" spans="1:28" x14ac:dyDescent="0.2">
      <c r="D110" s="97" t="str">
        <f t="shared" si="59"/>
        <v/>
      </c>
      <c r="X110" s="62" t="str">
        <f>IFERROR(INDEX('GİRİŞ ANALİZİ'!$D:$D, MATCH($W110,'GİRİŞ ANALİZİ'!$B:$B, 0)),"Bulunamadı")</f>
        <v>Bulunamadı</v>
      </c>
    </row>
    <row r="111" spans="1:28" x14ac:dyDescent="0.2">
      <c r="D111" s="97" t="str">
        <f t="shared" si="59"/>
        <v/>
      </c>
      <c r="X111" s="62" t="str">
        <f>IFERROR(INDEX('GİRİŞ ANALİZİ'!$D:$D, MATCH($W111,'GİRİŞ ANALİZİ'!$B:$B, 0)),"Bulunamadı")</f>
        <v>Bulunamadı</v>
      </c>
    </row>
    <row r="112" spans="1:28" x14ac:dyDescent="0.2">
      <c r="D112" s="97" t="str">
        <f t="shared" si="59"/>
        <v/>
      </c>
      <c r="X112" s="62" t="str">
        <f>IFERROR(INDEX('GİRİŞ ANALİZİ'!$D:$D, MATCH($W112,'GİRİŞ ANALİZİ'!$B:$B, 0)),"Bulunamadı")</f>
        <v>Bulunamadı</v>
      </c>
    </row>
    <row r="113" spans="4:24" x14ac:dyDescent="0.2">
      <c r="D113" s="97" t="str">
        <f t="shared" si="59"/>
        <v/>
      </c>
      <c r="X113" s="62" t="str">
        <f>IFERROR(INDEX('GİRİŞ ANALİZİ'!$D:$D, MATCH($W113,'GİRİŞ ANALİZİ'!$B:$B, 0)),"Bulunamadı")</f>
        <v>Bulunamadı</v>
      </c>
    </row>
    <row r="114" spans="4:24" x14ac:dyDescent="0.2">
      <c r="D114" s="97" t="str">
        <f t="shared" si="59"/>
        <v/>
      </c>
      <c r="X114" s="62" t="str">
        <f>IFERROR(INDEX('GİRİŞ ANALİZİ'!$D:$D, MATCH($W114,'GİRİŞ ANALİZİ'!$B:$B, 0)),"Bulunamadı")</f>
        <v>Bulunamadı</v>
      </c>
    </row>
    <row r="115" spans="4:24" x14ac:dyDescent="0.2">
      <c r="D115" s="97" t="str">
        <f t="shared" si="59"/>
        <v/>
      </c>
      <c r="X115" s="62" t="str">
        <f>IFERROR(INDEX('GİRİŞ ANALİZİ'!$D:$D, MATCH($W115,'GİRİŞ ANALİZİ'!$B:$B, 0)),"Bulunamadı")</f>
        <v>Bulunamadı</v>
      </c>
    </row>
    <row r="116" spans="4:24" x14ac:dyDescent="0.2">
      <c r="D116" s="97" t="str">
        <f t="shared" si="59"/>
        <v/>
      </c>
      <c r="X116" s="62" t="str">
        <f>IFERROR(INDEX('GİRİŞ ANALİZİ'!$D:$D, MATCH($W116,'GİRİŞ ANALİZİ'!$B:$B, 0)),"Bulunamadı")</f>
        <v>Bulunamadı</v>
      </c>
    </row>
    <row r="117" spans="4:24" x14ac:dyDescent="0.2">
      <c r="D117" s="97" t="str">
        <f t="shared" si="59"/>
        <v/>
      </c>
      <c r="X117" s="62" t="str">
        <f>IFERROR(INDEX('GİRİŞ ANALİZİ'!$D:$D, MATCH($W117,'GİRİŞ ANALİZİ'!$B:$B, 0)),"Bulunamadı")</f>
        <v>Bulunamadı</v>
      </c>
    </row>
    <row r="118" spans="4:24" x14ac:dyDescent="0.2">
      <c r="D118" s="97" t="str">
        <f t="shared" si="59"/>
        <v/>
      </c>
      <c r="X118" s="62" t="str">
        <f>IFERROR(INDEX('GİRİŞ ANALİZİ'!$D:$D, MATCH($W118,'GİRİŞ ANALİZİ'!$B:$B, 0)),"Bulunamadı")</f>
        <v>Bulunamadı</v>
      </c>
    </row>
    <row r="119" spans="4:24" x14ac:dyDescent="0.2">
      <c r="D119" s="97" t="str">
        <f t="shared" si="59"/>
        <v/>
      </c>
      <c r="X119" s="62" t="str">
        <f>IFERROR(INDEX('GİRİŞ ANALİZİ'!$D:$D, MATCH($W119,'GİRİŞ ANALİZİ'!$B:$B, 0)),"Bulunamadı")</f>
        <v>Bulunamadı</v>
      </c>
    </row>
    <row r="120" spans="4:24" x14ac:dyDescent="0.2">
      <c r="D120" s="97" t="str">
        <f t="shared" si="59"/>
        <v/>
      </c>
      <c r="X120" s="62" t="str">
        <f>IFERROR(INDEX('GİRİŞ ANALİZİ'!$D:$D, MATCH($W120,'GİRİŞ ANALİZİ'!$B:$B, 0)),"Bulunamadı")</f>
        <v>Bulunamadı</v>
      </c>
    </row>
    <row r="121" spans="4:24" x14ac:dyDescent="0.2">
      <c r="D121" s="97" t="str">
        <f t="shared" si="59"/>
        <v/>
      </c>
      <c r="X121" s="62" t="str">
        <f>IFERROR(INDEX('GİRİŞ ANALİZİ'!$D:$D, MATCH($W121,'GİRİŞ ANALİZİ'!$B:$B, 0)),"Bulunamadı")</f>
        <v>Bulunamadı</v>
      </c>
    </row>
    <row r="122" spans="4:24" x14ac:dyDescent="0.2">
      <c r="D122" s="97" t="str">
        <f t="shared" si="59"/>
        <v/>
      </c>
      <c r="X122" s="62" t="str">
        <f>IFERROR(INDEX('GİRİŞ ANALİZİ'!$D:$D, MATCH($W122,'GİRİŞ ANALİZİ'!$B:$B, 0)),"Bulunamadı")</f>
        <v>Bulunamadı</v>
      </c>
    </row>
    <row r="123" spans="4:24" x14ac:dyDescent="0.2">
      <c r="D123" s="97" t="str">
        <f t="shared" si="59"/>
        <v/>
      </c>
      <c r="X123" s="62" t="str">
        <f>IFERROR(INDEX('GİRİŞ ANALİZİ'!$D:$D, MATCH($W123,'GİRİŞ ANALİZİ'!$B:$B, 0)),"Bulunamadı")</f>
        <v>Bulunamadı</v>
      </c>
    </row>
    <row r="124" spans="4:24" x14ac:dyDescent="0.2">
      <c r="D124" s="97" t="str">
        <f t="shared" si="59"/>
        <v/>
      </c>
      <c r="X124" s="62" t="str">
        <f>IFERROR(INDEX('GİRİŞ ANALİZİ'!$D:$D, MATCH($W124,'GİRİŞ ANALİZİ'!$B:$B, 0)),"Bulunamadı")</f>
        <v>Bulunamadı</v>
      </c>
    </row>
    <row r="125" spans="4:24" x14ac:dyDescent="0.2">
      <c r="D125" s="97" t="str">
        <f t="shared" si="59"/>
        <v/>
      </c>
      <c r="X125" s="62" t="str">
        <f>IFERROR(INDEX('GİRİŞ ANALİZİ'!$D:$D, MATCH($W125,'GİRİŞ ANALİZİ'!$B:$B, 0)),"Bulunamadı")</f>
        <v>Bulunamadı</v>
      </c>
    </row>
    <row r="126" spans="4:24" x14ac:dyDescent="0.2">
      <c r="D126" s="97" t="str">
        <f t="shared" si="59"/>
        <v/>
      </c>
      <c r="X126" s="62" t="str">
        <f>IFERROR(INDEX('GİRİŞ ANALİZİ'!$D:$D, MATCH($W126,'GİRİŞ ANALİZİ'!$B:$B, 0)),"Bulunamadı")</f>
        <v>Bulunamadı</v>
      </c>
    </row>
    <row r="127" spans="4:24" x14ac:dyDescent="0.2">
      <c r="D127" s="97" t="str">
        <f t="shared" si="59"/>
        <v/>
      </c>
      <c r="X127" s="62" t="str">
        <f>IFERROR(INDEX('GİRİŞ ANALİZİ'!$D:$D, MATCH($W127,'GİRİŞ ANALİZİ'!$B:$B, 0)),"Bulunamadı")</f>
        <v>Bulunamadı</v>
      </c>
    </row>
    <row r="128" spans="4:24" x14ac:dyDescent="0.2">
      <c r="D128" s="97" t="str">
        <f t="shared" si="59"/>
        <v/>
      </c>
      <c r="X128" s="62" t="str">
        <f>IFERROR(INDEX('GİRİŞ ANALİZİ'!$D:$D, MATCH($W128,'GİRİŞ ANALİZİ'!$B:$B, 0)),"Bulunamadı")</f>
        <v>Bulunamadı</v>
      </c>
    </row>
    <row r="129" spans="4:24" x14ac:dyDescent="0.2">
      <c r="D129" s="97" t="str">
        <f t="shared" si="59"/>
        <v/>
      </c>
      <c r="X129" s="62" t="str">
        <f>IFERROR(INDEX('GİRİŞ ANALİZİ'!$D:$D, MATCH($W129,'GİRİŞ ANALİZİ'!$B:$B, 0)),"Bulunamadı")</f>
        <v>Bulunamadı</v>
      </c>
    </row>
    <row r="130" spans="4:24" x14ac:dyDescent="0.2">
      <c r="D130" s="97" t="str">
        <f t="shared" si="59"/>
        <v/>
      </c>
      <c r="X130" s="62" t="str">
        <f>IFERROR(INDEX('GİRİŞ ANALİZİ'!$D:$D, MATCH($W130,'GİRİŞ ANALİZİ'!$B:$B, 0)),"Bulunamadı")</f>
        <v>Bulunamadı</v>
      </c>
    </row>
    <row r="131" spans="4:24" x14ac:dyDescent="0.2">
      <c r="D131" s="97" t="str">
        <f t="shared" ref="D131:D194" si="72">IF(C131="H5130003","HW.CASHEW NUT W320____________( 22.68 KG )",IF(C131="H5130001","HW.CASHEW NUT W240____________( 22.68 KG )",IF(C131="H5130164","HW.CASHEW NUT W180____________( 22.68 KG )","")))</f>
        <v/>
      </c>
      <c r="X131" s="62" t="str">
        <f>IFERROR(INDEX('GİRİŞ ANALİZİ'!$D:$D, MATCH($W131,'GİRİŞ ANALİZİ'!$B:$B, 0)),"Bulunamadı")</f>
        <v>Bulunamadı</v>
      </c>
    </row>
    <row r="132" spans="4:24" x14ac:dyDescent="0.2">
      <c r="D132" s="97" t="str">
        <f t="shared" si="72"/>
        <v/>
      </c>
      <c r="X132" s="62" t="str">
        <f>IFERROR(INDEX('GİRİŞ ANALİZİ'!$D:$D, MATCH($W132,'GİRİŞ ANALİZİ'!$B:$B, 0)),"Bulunamadı")</f>
        <v>Bulunamadı</v>
      </c>
    </row>
    <row r="133" spans="4:24" x14ac:dyDescent="0.2">
      <c r="D133" s="97" t="str">
        <f t="shared" si="72"/>
        <v/>
      </c>
      <c r="X133" s="62" t="str">
        <f>IFERROR(INDEX('GİRİŞ ANALİZİ'!$D:$D, MATCH($W133,'GİRİŞ ANALİZİ'!$B:$B, 0)),"Bulunamadı")</f>
        <v>Bulunamadı</v>
      </c>
    </row>
    <row r="134" spans="4:24" x14ac:dyDescent="0.2">
      <c r="D134" s="97" t="str">
        <f t="shared" si="72"/>
        <v/>
      </c>
      <c r="X134" s="62" t="str">
        <f>IFERROR(INDEX('GİRİŞ ANALİZİ'!$D:$D, MATCH($W134,'GİRİŞ ANALİZİ'!$B:$B, 0)),"Bulunamadı")</f>
        <v>Bulunamadı</v>
      </c>
    </row>
    <row r="135" spans="4:24" x14ac:dyDescent="0.2">
      <c r="D135" s="97" t="str">
        <f t="shared" si="72"/>
        <v/>
      </c>
      <c r="X135" s="62" t="str">
        <f>IFERROR(INDEX('GİRİŞ ANALİZİ'!$D:$D, MATCH($W135,'GİRİŞ ANALİZİ'!$B:$B, 0)),"Bulunamadı")</f>
        <v>Bulunamadı</v>
      </c>
    </row>
    <row r="136" spans="4:24" x14ac:dyDescent="0.2">
      <c r="D136" s="97" t="str">
        <f t="shared" si="72"/>
        <v/>
      </c>
      <c r="X136" s="62" t="str">
        <f>IFERROR(INDEX('GİRİŞ ANALİZİ'!$D:$D, MATCH($W136,'GİRİŞ ANALİZİ'!$B:$B, 0)),"Bulunamadı")</f>
        <v>Bulunamadı</v>
      </c>
    </row>
    <row r="137" spans="4:24" x14ac:dyDescent="0.2">
      <c r="D137" s="97" t="str">
        <f t="shared" si="72"/>
        <v/>
      </c>
      <c r="X137" s="62" t="str">
        <f>IFERROR(INDEX('GİRİŞ ANALİZİ'!$D:$D, MATCH($W137,'GİRİŞ ANALİZİ'!$B:$B, 0)),"Bulunamadı")</f>
        <v>Bulunamadı</v>
      </c>
    </row>
    <row r="138" spans="4:24" x14ac:dyDescent="0.2">
      <c r="D138" s="97" t="str">
        <f t="shared" si="72"/>
        <v/>
      </c>
      <c r="X138" s="62" t="str">
        <f>IFERROR(INDEX('GİRİŞ ANALİZİ'!$D:$D, MATCH($W138,'GİRİŞ ANALİZİ'!$B:$B, 0)),"Bulunamadı")</f>
        <v>Bulunamadı</v>
      </c>
    </row>
    <row r="139" spans="4:24" x14ac:dyDescent="0.2">
      <c r="D139" s="97" t="str">
        <f t="shared" si="72"/>
        <v/>
      </c>
      <c r="X139" s="62" t="str">
        <f>IFERROR(INDEX('GİRİŞ ANALİZİ'!$D:$D, MATCH($W139,'GİRİŞ ANALİZİ'!$B:$B, 0)),"Bulunamadı")</f>
        <v>Bulunamadı</v>
      </c>
    </row>
    <row r="140" spans="4:24" x14ac:dyDescent="0.2">
      <c r="D140" s="97" t="str">
        <f t="shared" si="72"/>
        <v/>
      </c>
      <c r="X140" s="62" t="str">
        <f>IFERROR(INDEX('GİRİŞ ANALİZİ'!$D:$D, MATCH($W140,'GİRİŞ ANALİZİ'!$B:$B, 0)),"Bulunamadı")</f>
        <v>Bulunamadı</v>
      </c>
    </row>
    <row r="141" spans="4:24" x14ac:dyDescent="0.2">
      <c r="D141" s="97" t="str">
        <f t="shared" si="72"/>
        <v/>
      </c>
      <c r="X141" s="62" t="str">
        <f>IFERROR(INDEX('GİRİŞ ANALİZİ'!$D:$D, MATCH($W141,'GİRİŞ ANALİZİ'!$B:$B, 0)),"Bulunamadı")</f>
        <v>Bulunamadı</v>
      </c>
    </row>
    <row r="142" spans="4:24" x14ac:dyDescent="0.2">
      <c r="D142" s="97" t="str">
        <f t="shared" si="72"/>
        <v/>
      </c>
      <c r="X142" s="62" t="str">
        <f>IFERROR(INDEX('GİRİŞ ANALİZİ'!$D:$D, MATCH($W142,'GİRİŞ ANALİZİ'!$B:$B, 0)),"Bulunamadı")</f>
        <v>Bulunamadı</v>
      </c>
    </row>
    <row r="143" spans="4:24" x14ac:dyDescent="0.2">
      <c r="D143" s="97" t="str">
        <f t="shared" si="72"/>
        <v/>
      </c>
      <c r="X143" s="62" t="str">
        <f>IFERROR(INDEX('GİRİŞ ANALİZİ'!$D:$D, MATCH($W143,'GİRİŞ ANALİZİ'!$B:$B, 0)),"Bulunamadı")</f>
        <v>Bulunamadı</v>
      </c>
    </row>
    <row r="144" spans="4:24" x14ac:dyDescent="0.2">
      <c r="D144" s="97" t="str">
        <f t="shared" si="72"/>
        <v/>
      </c>
      <c r="X144" s="62" t="str">
        <f>IFERROR(INDEX('GİRİŞ ANALİZİ'!$D:$D, MATCH($W144,'GİRİŞ ANALİZİ'!$B:$B, 0)),"Bulunamadı")</f>
        <v>Bulunamadı</v>
      </c>
    </row>
    <row r="145" spans="4:24" x14ac:dyDescent="0.2">
      <c r="D145" s="97" t="str">
        <f t="shared" si="72"/>
        <v/>
      </c>
      <c r="X145" s="62" t="str">
        <f>IFERROR(INDEX('GİRİŞ ANALİZİ'!$D:$D, MATCH($W145,'GİRİŞ ANALİZİ'!$B:$B, 0)),"Bulunamadı")</f>
        <v>Bulunamadı</v>
      </c>
    </row>
    <row r="146" spans="4:24" x14ac:dyDescent="0.2">
      <c r="D146" s="97" t="str">
        <f t="shared" si="72"/>
        <v/>
      </c>
      <c r="X146" s="62" t="str">
        <f>IFERROR(INDEX('GİRİŞ ANALİZİ'!$D:$D, MATCH($W146,'GİRİŞ ANALİZİ'!$B:$B, 0)),"Bulunamadı")</f>
        <v>Bulunamadı</v>
      </c>
    </row>
    <row r="147" spans="4:24" x14ac:dyDescent="0.2">
      <c r="D147" s="97" t="str">
        <f t="shared" si="72"/>
        <v/>
      </c>
      <c r="X147" s="62" t="str">
        <f>IFERROR(INDEX('GİRİŞ ANALİZİ'!$D:$D, MATCH($W147,'GİRİŞ ANALİZİ'!$B:$B, 0)),"Bulunamadı")</f>
        <v>Bulunamadı</v>
      </c>
    </row>
    <row r="148" spans="4:24" x14ac:dyDescent="0.2">
      <c r="D148" s="97" t="str">
        <f t="shared" si="72"/>
        <v/>
      </c>
      <c r="X148" s="62" t="str">
        <f>IFERROR(INDEX('GİRİŞ ANALİZİ'!$D:$D, MATCH($W148,'GİRİŞ ANALİZİ'!$B:$B, 0)),"Bulunamadı")</f>
        <v>Bulunamadı</v>
      </c>
    </row>
    <row r="149" spans="4:24" x14ac:dyDescent="0.2">
      <c r="D149" s="97" t="str">
        <f t="shared" si="72"/>
        <v/>
      </c>
      <c r="X149" s="62" t="str">
        <f>IFERROR(INDEX('GİRİŞ ANALİZİ'!$D:$D, MATCH($W149,'GİRİŞ ANALİZİ'!$B:$B, 0)),"Bulunamadı")</f>
        <v>Bulunamadı</v>
      </c>
    </row>
    <row r="150" spans="4:24" x14ac:dyDescent="0.2">
      <c r="D150" s="97" t="str">
        <f t="shared" si="72"/>
        <v/>
      </c>
      <c r="X150" s="62" t="str">
        <f>IFERROR(INDEX('GİRİŞ ANALİZİ'!$D:$D, MATCH($W150,'GİRİŞ ANALİZİ'!$B:$B, 0)),"Bulunamadı")</f>
        <v>Bulunamadı</v>
      </c>
    </row>
    <row r="151" spans="4:24" x14ac:dyDescent="0.2">
      <c r="D151" s="97" t="str">
        <f t="shared" si="72"/>
        <v/>
      </c>
      <c r="X151" s="62" t="str">
        <f>IFERROR(INDEX('GİRİŞ ANALİZİ'!$D:$D, MATCH($W151,'GİRİŞ ANALİZİ'!$B:$B, 0)),"Bulunamadı")</f>
        <v>Bulunamadı</v>
      </c>
    </row>
    <row r="152" spans="4:24" x14ac:dyDescent="0.2">
      <c r="D152" s="97" t="str">
        <f t="shared" si="72"/>
        <v/>
      </c>
      <c r="X152" s="62" t="str">
        <f>IFERROR(INDEX('GİRİŞ ANALİZİ'!$D:$D, MATCH($W152,'GİRİŞ ANALİZİ'!$B:$B, 0)),"Bulunamadı")</f>
        <v>Bulunamadı</v>
      </c>
    </row>
    <row r="153" spans="4:24" x14ac:dyDescent="0.2">
      <c r="D153" s="97" t="str">
        <f t="shared" si="72"/>
        <v/>
      </c>
      <c r="X153" s="62" t="str">
        <f>IFERROR(INDEX('GİRİŞ ANALİZİ'!$D:$D, MATCH($W153,'GİRİŞ ANALİZİ'!$B:$B, 0)),"Bulunamadı")</f>
        <v>Bulunamadı</v>
      </c>
    </row>
    <row r="154" spans="4:24" x14ac:dyDescent="0.2">
      <c r="D154" s="97" t="str">
        <f t="shared" si="72"/>
        <v/>
      </c>
      <c r="X154" s="62" t="str">
        <f>IFERROR(INDEX('GİRİŞ ANALİZİ'!$D:$D, MATCH($W154,'GİRİŞ ANALİZİ'!$B:$B, 0)),"Bulunamadı")</f>
        <v>Bulunamadı</v>
      </c>
    </row>
    <row r="155" spans="4:24" x14ac:dyDescent="0.2">
      <c r="D155" s="97" t="str">
        <f t="shared" si="72"/>
        <v/>
      </c>
      <c r="X155" s="62" t="str">
        <f>IFERROR(INDEX('GİRİŞ ANALİZİ'!$D:$D, MATCH($W155,'GİRİŞ ANALİZİ'!$B:$B, 0)),"Bulunamadı")</f>
        <v>Bulunamadı</v>
      </c>
    </row>
    <row r="156" spans="4:24" x14ac:dyDescent="0.2">
      <c r="D156" s="97" t="str">
        <f t="shared" si="72"/>
        <v/>
      </c>
      <c r="X156" s="62" t="str">
        <f>IFERROR(INDEX('GİRİŞ ANALİZİ'!$D:$D, MATCH($W156,'GİRİŞ ANALİZİ'!$B:$B, 0)),"Bulunamadı")</f>
        <v>Bulunamadı</v>
      </c>
    </row>
    <row r="157" spans="4:24" x14ac:dyDescent="0.2">
      <c r="D157" s="97" t="str">
        <f t="shared" si="72"/>
        <v/>
      </c>
      <c r="X157" s="62" t="str">
        <f>IFERROR(INDEX('GİRİŞ ANALİZİ'!$D:$D, MATCH($W157,'GİRİŞ ANALİZİ'!$B:$B, 0)),"Bulunamadı")</f>
        <v>Bulunamadı</v>
      </c>
    </row>
    <row r="158" spans="4:24" x14ac:dyDescent="0.2">
      <c r="D158" s="97" t="str">
        <f t="shared" si="72"/>
        <v/>
      </c>
      <c r="X158" s="62" t="str">
        <f>IFERROR(INDEX('GİRİŞ ANALİZİ'!$D:$D, MATCH($W158,'GİRİŞ ANALİZİ'!$B:$B, 0)),"Bulunamadı")</f>
        <v>Bulunamadı</v>
      </c>
    </row>
    <row r="159" spans="4:24" x14ac:dyDescent="0.2">
      <c r="D159" s="97" t="str">
        <f t="shared" si="72"/>
        <v/>
      </c>
      <c r="X159" s="62" t="str">
        <f>IFERROR(INDEX('GİRİŞ ANALİZİ'!$D:$D, MATCH($W159,'GİRİŞ ANALİZİ'!$B:$B, 0)),"Bulunamadı")</f>
        <v>Bulunamadı</v>
      </c>
    </row>
    <row r="160" spans="4:24" x14ac:dyDescent="0.2">
      <c r="D160" s="97" t="str">
        <f t="shared" si="72"/>
        <v/>
      </c>
      <c r="X160" s="62" t="str">
        <f>IFERROR(INDEX('GİRİŞ ANALİZİ'!$D:$D, MATCH($W160,'GİRİŞ ANALİZİ'!$B:$B, 0)),"Bulunamadı")</f>
        <v>Bulunamadı</v>
      </c>
    </row>
    <row r="161" spans="4:24" x14ac:dyDescent="0.2">
      <c r="D161" s="97" t="str">
        <f t="shared" si="72"/>
        <v/>
      </c>
      <c r="X161" s="62" t="str">
        <f>IFERROR(INDEX('GİRİŞ ANALİZİ'!$D:$D, MATCH($W161,'GİRİŞ ANALİZİ'!$B:$B, 0)),"Bulunamadı")</f>
        <v>Bulunamadı</v>
      </c>
    </row>
    <row r="162" spans="4:24" x14ac:dyDescent="0.2">
      <c r="D162" s="97" t="str">
        <f t="shared" si="72"/>
        <v/>
      </c>
      <c r="X162" s="62" t="str">
        <f>IFERROR(INDEX('GİRİŞ ANALİZİ'!$D:$D, MATCH($W162,'GİRİŞ ANALİZİ'!$B:$B, 0)),"Bulunamadı")</f>
        <v>Bulunamadı</v>
      </c>
    </row>
    <row r="163" spans="4:24" x14ac:dyDescent="0.2">
      <c r="D163" s="97" t="str">
        <f t="shared" si="72"/>
        <v/>
      </c>
      <c r="X163" s="62" t="str">
        <f>IFERROR(INDEX('GİRİŞ ANALİZİ'!$D:$D, MATCH($W163,'GİRİŞ ANALİZİ'!$B:$B, 0)),"Bulunamadı")</f>
        <v>Bulunamadı</v>
      </c>
    </row>
    <row r="164" spans="4:24" x14ac:dyDescent="0.2">
      <c r="D164" s="97" t="str">
        <f t="shared" si="72"/>
        <v/>
      </c>
      <c r="X164" s="62" t="str">
        <f>IFERROR(INDEX('GİRİŞ ANALİZİ'!$D:$D, MATCH($W164,'GİRİŞ ANALİZİ'!$B:$B, 0)),"Bulunamadı")</f>
        <v>Bulunamadı</v>
      </c>
    </row>
    <row r="165" spans="4:24" x14ac:dyDescent="0.2">
      <c r="D165" s="97" t="str">
        <f t="shared" si="72"/>
        <v/>
      </c>
      <c r="X165" s="62" t="str">
        <f>IFERROR(INDEX('GİRİŞ ANALİZİ'!$D:$D, MATCH($W165,'GİRİŞ ANALİZİ'!$B:$B, 0)),"Bulunamadı")</f>
        <v>Bulunamadı</v>
      </c>
    </row>
    <row r="166" spans="4:24" x14ac:dyDescent="0.2">
      <c r="D166" s="97" t="str">
        <f t="shared" si="72"/>
        <v/>
      </c>
      <c r="X166" s="62" t="str">
        <f>IFERROR(INDEX('GİRİŞ ANALİZİ'!$D:$D, MATCH($W166,'GİRİŞ ANALİZİ'!$B:$B, 0)),"Bulunamadı")</f>
        <v>Bulunamadı</v>
      </c>
    </row>
    <row r="167" spans="4:24" x14ac:dyDescent="0.2">
      <c r="D167" s="97" t="str">
        <f t="shared" si="72"/>
        <v/>
      </c>
      <c r="X167" s="62" t="str">
        <f>IFERROR(INDEX('GİRİŞ ANALİZİ'!$D:$D, MATCH($W167,'GİRİŞ ANALİZİ'!$B:$B, 0)),"Bulunamadı")</f>
        <v>Bulunamadı</v>
      </c>
    </row>
    <row r="168" spans="4:24" x14ac:dyDescent="0.2">
      <c r="D168" s="97" t="str">
        <f t="shared" si="72"/>
        <v/>
      </c>
      <c r="X168" s="62" t="str">
        <f>IFERROR(INDEX('GİRİŞ ANALİZİ'!$D:$D, MATCH($W168,'GİRİŞ ANALİZİ'!$B:$B, 0)),"Bulunamadı")</f>
        <v>Bulunamadı</v>
      </c>
    </row>
    <row r="169" spans="4:24" x14ac:dyDescent="0.2">
      <c r="D169" s="97" t="str">
        <f t="shared" si="72"/>
        <v/>
      </c>
      <c r="X169" s="62" t="str">
        <f>IFERROR(INDEX('GİRİŞ ANALİZİ'!$D:$D, MATCH($W169,'GİRİŞ ANALİZİ'!$B:$B, 0)),"Bulunamadı")</f>
        <v>Bulunamadı</v>
      </c>
    </row>
    <row r="170" spans="4:24" x14ac:dyDescent="0.2">
      <c r="D170" s="97" t="str">
        <f t="shared" si="72"/>
        <v/>
      </c>
      <c r="X170" s="62" t="str">
        <f>IFERROR(INDEX('GİRİŞ ANALİZİ'!$D:$D, MATCH($W170,'GİRİŞ ANALİZİ'!$B:$B, 0)),"Bulunamadı")</f>
        <v>Bulunamadı</v>
      </c>
    </row>
    <row r="171" spans="4:24" x14ac:dyDescent="0.2">
      <c r="D171" s="97" t="str">
        <f t="shared" si="72"/>
        <v/>
      </c>
      <c r="X171" s="62" t="str">
        <f>IFERROR(INDEX('GİRİŞ ANALİZİ'!$D:$D, MATCH($W171,'GİRİŞ ANALİZİ'!$B:$B, 0)),"Bulunamadı")</f>
        <v>Bulunamadı</v>
      </c>
    </row>
    <row r="172" spans="4:24" x14ac:dyDescent="0.2">
      <c r="D172" s="97" t="str">
        <f t="shared" si="72"/>
        <v/>
      </c>
      <c r="X172" s="62" t="str">
        <f>IFERROR(INDEX('GİRİŞ ANALİZİ'!$D:$D, MATCH($W172,'GİRİŞ ANALİZİ'!$B:$B, 0)),"Bulunamadı")</f>
        <v>Bulunamadı</v>
      </c>
    </row>
    <row r="173" spans="4:24" x14ac:dyDescent="0.2">
      <c r="D173" s="97" t="str">
        <f t="shared" si="72"/>
        <v/>
      </c>
      <c r="X173" s="62" t="str">
        <f>IFERROR(INDEX('GİRİŞ ANALİZİ'!$D:$D, MATCH($W173,'GİRİŞ ANALİZİ'!$B:$B, 0)),"Bulunamadı")</f>
        <v>Bulunamadı</v>
      </c>
    </row>
    <row r="174" spans="4:24" x14ac:dyDescent="0.2">
      <c r="D174" s="97" t="str">
        <f t="shared" si="72"/>
        <v/>
      </c>
      <c r="X174" s="62" t="str">
        <f>IFERROR(INDEX('GİRİŞ ANALİZİ'!$D:$D, MATCH($W174,'GİRİŞ ANALİZİ'!$B:$B, 0)),"Bulunamadı")</f>
        <v>Bulunamadı</v>
      </c>
    </row>
    <row r="175" spans="4:24" x14ac:dyDescent="0.2">
      <c r="D175" s="97" t="str">
        <f t="shared" si="72"/>
        <v/>
      </c>
      <c r="X175" s="62" t="str">
        <f>IFERROR(INDEX('GİRİŞ ANALİZİ'!$D:$D, MATCH($W175,'GİRİŞ ANALİZİ'!$B:$B, 0)),"Bulunamadı")</f>
        <v>Bulunamadı</v>
      </c>
    </row>
    <row r="176" spans="4:24" x14ac:dyDescent="0.2">
      <c r="D176" s="97" t="str">
        <f t="shared" si="72"/>
        <v/>
      </c>
      <c r="X176" s="62" t="str">
        <f>IFERROR(INDEX('GİRİŞ ANALİZİ'!$D:$D, MATCH($W176,'GİRİŞ ANALİZİ'!$B:$B, 0)),"Bulunamadı")</f>
        <v>Bulunamadı</v>
      </c>
    </row>
    <row r="177" spans="4:24" x14ac:dyDescent="0.2">
      <c r="D177" s="97" t="str">
        <f t="shared" si="72"/>
        <v/>
      </c>
      <c r="X177" s="62" t="str">
        <f>IFERROR(INDEX('GİRİŞ ANALİZİ'!$D:$D, MATCH($W177,'GİRİŞ ANALİZİ'!$B:$B, 0)),"Bulunamadı")</f>
        <v>Bulunamadı</v>
      </c>
    </row>
    <row r="178" spans="4:24" x14ac:dyDescent="0.2">
      <c r="D178" s="97" t="str">
        <f t="shared" si="72"/>
        <v/>
      </c>
      <c r="X178" s="62" t="str">
        <f>IFERROR(INDEX('GİRİŞ ANALİZİ'!$D:$D, MATCH($W178,'GİRİŞ ANALİZİ'!$B:$B, 0)),"Bulunamadı")</f>
        <v>Bulunamadı</v>
      </c>
    </row>
    <row r="179" spans="4:24" x14ac:dyDescent="0.2">
      <c r="D179" s="97" t="str">
        <f t="shared" si="72"/>
        <v/>
      </c>
      <c r="X179" s="62" t="str">
        <f>IFERROR(INDEX('GİRİŞ ANALİZİ'!$D:$D, MATCH($W179,'GİRİŞ ANALİZİ'!$B:$B, 0)),"Bulunamadı")</f>
        <v>Bulunamadı</v>
      </c>
    </row>
    <row r="180" spans="4:24" x14ac:dyDescent="0.2">
      <c r="D180" s="97" t="str">
        <f t="shared" si="72"/>
        <v/>
      </c>
      <c r="X180" s="62" t="str">
        <f>IFERROR(INDEX('GİRİŞ ANALİZİ'!$D:$D, MATCH($W180,'GİRİŞ ANALİZİ'!$B:$B, 0)),"Bulunamadı")</f>
        <v>Bulunamadı</v>
      </c>
    </row>
    <row r="181" spans="4:24" x14ac:dyDescent="0.2">
      <c r="D181" s="97" t="str">
        <f t="shared" si="72"/>
        <v/>
      </c>
      <c r="X181" s="62" t="str">
        <f>IFERROR(INDEX('GİRİŞ ANALİZİ'!$D:$D, MATCH($W181,'GİRİŞ ANALİZİ'!$B:$B, 0)),"Bulunamadı")</f>
        <v>Bulunamadı</v>
      </c>
    </row>
    <row r="182" spans="4:24" x14ac:dyDescent="0.2">
      <c r="D182" s="97" t="str">
        <f t="shared" si="72"/>
        <v/>
      </c>
      <c r="X182" s="62" t="str">
        <f>IFERROR(INDEX('GİRİŞ ANALİZİ'!$D:$D, MATCH($W182,'GİRİŞ ANALİZİ'!$B:$B, 0)),"Bulunamadı")</f>
        <v>Bulunamadı</v>
      </c>
    </row>
    <row r="183" spans="4:24" x14ac:dyDescent="0.2">
      <c r="D183" s="97" t="str">
        <f t="shared" si="72"/>
        <v/>
      </c>
      <c r="X183" s="62" t="str">
        <f>IFERROR(INDEX('GİRİŞ ANALİZİ'!$D:$D, MATCH($W183,'GİRİŞ ANALİZİ'!$B:$B, 0)),"Bulunamadı")</f>
        <v>Bulunamadı</v>
      </c>
    </row>
    <row r="184" spans="4:24" x14ac:dyDescent="0.2">
      <c r="D184" s="97" t="str">
        <f t="shared" si="72"/>
        <v/>
      </c>
      <c r="X184" s="62" t="str">
        <f>IFERROR(INDEX('GİRİŞ ANALİZİ'!$D:$D, MATCH($W184,'GİRİŞ ANALİZİ'!$B:$B, 0)),"Bulunamadı")</f>
        <v>Bulunamadı</v>
      </c>
    </row>
    <row r="185" spans="4:24" x14ac:dyDescent="0.2">
      <c r="D185" s="97" t="str">
        <f t="shared" si="72"/>
        <v/>
      </c>
      <c r="X185" s="62" t="str">
        <f>IFERROR(INDEX('GİRİŞ ANALİZİ'!$D:$D, MATCH($W185,'GİRİŞ ANALİZİ'!$B:$B, 0)),"Bulunamadı")</f>
        <v>Bulunamadı</v>
      </c>
    </row>
    <row r="186" spans="4:24" x14ac:dyDescent="0.2">
      <c r="D186" s="97" t="str">
        <f t="shared" si="72"/>
        <v/>
      </c>
      <c r="X186" s="62" t="str">
        <f>IFERROR(INDEX('GİRİŞ ANALİZİ'!$D:$D, MATCH($W186,'GİRİŞ ANALİZİ'!$B:$B, 0)),"Bulunamadı")</f>
        <v>Bulunamadı</v>
      </c>
    </row>
    <row r="187" spans="4:24" x14ac:dyDescent="0.2">
      <c r="D187" s="97" t="str">
        <f t="shared" si="72"/>
        <v/>
      </c>
      <c r="X187" s="62" t="str">
        <f>IFERROR(INDEX('GİRİŞ ANALİZİ'!$D:$D, MATCH($W187,'GİRİŞ ANALİZİ'!$B:$B, 0)),"Bulunamadı")</f>
        <v>Bulunamadı</v>
      </c>
    </row>
    <row r="188" spans="4:24" x14ac:dyDescent="0.2">
      <c r="D188" s="97" t="str">
        <f t="shared" si="72"/>
        <v/>
      </c>
      <c r="X188" s="62" t="str">
        <f>IFERROR(INDEX('GİRİŞ ANALİZİ'!$D:$D, MATCH($W188,'GİRİŞ ANALİZİ'!$B:$B, 0)),"Bulunamadı")</f>
        <v>Bulunamadı</v>
      </c>
    </row>
    <row r="189" spans="4:24" x14ac:dyDescent="0.2">
      <c r="D189" s="97" t="str">
        <f t="shared" si="72"/>
        <v/>
      </c>
      <c r="X189" s="62" t="str">
        <f>IFERROR(INDEX('GİRİŞ ANALİZİ'!$D:$D, MATCH($W189,'GİRİŞ ANALİZİ'!$B:$B, 0)),"Bulunamadı")</f>
        <v>Bulunamadı</v>
      </c>
    </row>
    <row r="190" spans="4:24" x14ac:dyDescent="0.2">
      <c r="D190" s="97" t="str">
        <f t="shared" si="72"/>
        <v/>
      </c>
      <c r="X190" s="62" t="str">
        <f>IFERROR(INDEX('GİRİŞ ANALİZİ'!$D:$D, MATCH($W190,'GİRİŞ ANALİZİ'!$B:$B, 0)),"Bulunamadı")</f>
        <v>Bulunamadı</v>
      </c>
    </row>
    <row r="191" spans="4:24" x14ac:dyDescent="0.2">
      <c r="D191" s="97" t="str">
        <f t="shared" si="72"/>
        <v/>
      </c>
      <c r="X191" s="62" t="str">
        <f>IFERROR(INDEX('GİRİŞ ANALİZİ'!$D:$D, MATCH($W191,'GİRİŞ ANALİZİ'!$B:$B, 0)),"Bulunamadı")</f>
        <v>Bulunamadı</v>
      </c>
    </row>
    <row r="192" spans="4:24" x14ac:dyDescent="0.2">
      <c r="D192" s="97" t="str">
        <f t="shared" si="72"/>
        <v/>
      </c>
      <c r="X192" s="62" t="str">
        <f>IFERROR(INDEX('GİRİŞ ANALİZİ'!$D:$D, MATCH($W192,'GİRİŞ ANALİZİ'!$B:$B, 0)),"Bulunamadı")</f>
        <v>Bulunamadı</v>
      </c>
    </row>
    <row r="193" spans="4:24" x14ac:dyDescent="0.2">
      <c r="D193" s="97" t="str">
        <f t="shared" si="72"/>
        <v/>
      </c>
      <c r="X193" s="62" t="str">
        <f>IFERROR(INDEX('GİRİŞ ANALİZİ'!$D:$D, MATCH($W193,'GİRİŞ ANALİZİ'!$B:$B, 0)),"Bulunamadı")</f>
        <v>Bulunamadı</v>
      </c>
    </row>
    <row r="194" spans="4:24" x14ac:dyDescent="0.2">
      <c r="D194" s="97" t="str">
        <f t="shared" si="72"/>
        <v/>
      </c>
      <c r="X194" s="62" t="str">
        <f>IFERROR(INDEX('GİRİŞ ANALİZİ'!$D:$D, MATCH($W194,'GİRİŞ ANALİZİ'!$B:$B, 0)),"Bulunamadı")</f>
        <v>Bulunamadı</v>
      </c>
    </row>
    <row r="195" spans="4:24" x14ac:dyDescent="0.2">
      <c r="D195" s="97" t="str">
        <f t="shared" ref="D195:D258" si="73">IF(C195="H5130003","HW.CASHEW NUT W320____________( 22.68 KG )",IF(C195="H5130001","HW.CASHEW NUT W240____________( 22.68 KG )",IF(C195="H5130164","HW.CASHEW NUT W180____________( 22.68 KG )","")))</f>
        <v/>
      </c>
      <c r="X195" s="62" t="str">
        <f>IFERROR(INDEX('GİRİŞ ANALİZİ'!$D:$D, MATCH($W195,'GİRİŞ ANALİZİ'!$B:$B, 0)),"Bulunamadı")</f>
        <v>Bulunamadı</v>
      </c>
    </row>
    <row r="196" spans="4:24" x14ac:dyDescent="0.2">
      <c r="D196" s="97" t="str">
        <f t="shared" si="73"/>
        <v/>
      </c>
      <c r="X196" s="62" t="str">
        <f>IFERROR(INDEX('GİRİŞ ANALİZİ'!$D:$D, MATCH($W196,'GİRİŞ ANALİZİ'!$B:$B, 0)),"Bulunamadı")</f>
        <v>Bulunamadı</v>
      </c>
    </row>
    <row r="197" spans="4:24" x14ac:dyDescent="0.2">
      <c r="D197" s="97" t="str">
        <f t="shared" si="73"/>
        <v/>
      </c>
      <c r="X197" s="62" t="str">
        <f>IFERROR(INDEX('GİRİŞ ANALİZİ'!$D:$D, MATCH($W197,'GİRİŞ ANALİZİ'!$B:$B, 0)),"Bulunamadı")</f>
        <v>Bulunamadı</v>
      </c>
    </row>
    <row r="198" spans="4:24" x14ac:dyDescent="0.2">
      <c r="D198" s="97" t="str">
        <f t="shared" si="73"/>
        <v/>
      </c>
      <c r="X198" s="62" t="str">
        <f>IFERROR(INDEX('GİRİŞ ANALİZİ'!$D:$D, MATCH($W198,'GİRİŞ ANALİZİ'!$B:$B, 0)),"Bulunamadı")</f>
        <v>Bulunamadı</v>
      </c>
    </row>
    <row r="199" spans="4:24" x14ac:dyDescent="0.2">
      <c r="D199" s="97" t="str">
        <f t="shared" si="73"/>
        <v/>
      </c>
      <c r="X199" s="62" t="str">
        <f>IFERROR(INDEX('GİRİŞ ANALİZİ'!$D:$D, MATCH($W199,'GİRİŞ ANALİZİ'!$B:$B, 0)),"Bulunamadı")</f>
        <v>Bulunamadı</v>
      </c>
    </row>
    <row r="200" spans="4:24" x14ac:dyDescent="0.2">
      <c r="D200" s="97" t="str">
        <f t="shared" si="73"/>
        <v/>
      </c>
      <c r="X200" s="62" t="str">
        <f>IFERROR(INDEX('GİRİŞ ANALİZİ'!$D:$D, MATCH($W200,'GİRİŞ ANALİZİ'!$B:$B, 0)),"Bulunamadı")</f>
        <v>Bulunamadı</v>
      </c>
    </row>
    <row r="201" spans="4:24" x14ac:dyDescent="0.2">
      <c r="D201" s="97" t="str">
        <f t="shared" si="73"/>
        <v/>
      </c>
      <c r="X201" s="62" t="str">
        <f>IFERROR(INDEX('GİRİŞ ANALİZİ'!$D:$D, MATCH($W201,'GİRİŞ ANALİZİ'!$B:$B, 0)),"Bulunamadı")</f>
        <v>Bulunamadı</v>
      </c>
    </row>
    <row r="202" spans="4:24" x14ac:dyDescent="0.2">
      <c r="D202" s="97" t="str">
        <f t="shared" si="73"/>
        <v/>
      </c>
      <c r="X202" s="62" t="str">
        <f>IFERROR(INDEX('GİRİŞ ANALİZİ'!$D:$D, MATCH($W202,'GİRİŞ ANALİZİ'!$B:$B, 0)),"Bulunamadı")</f>
        <v>Bulunamadı</v>
      </c>
    </row>
    <row r="203" spans="4:24" x14ac:dyDescent="0.2">
      <c r="D203" s="97" t="str">
        <f t="shared" si="73"/>
        <v/>
      </c>
      <c r="X203" s="62" t="str">
        <f>IFERROR(INDEX('GİRİŞ ANALİZİ'!$D:$D, MATCH($W203,'GİRİŞ ANALİZİ'!$B:$B, 0)),"Bulunamadı")</f>
        <v>Bulunamadı</v>
      </c>
    </row>
    <row r="204" spans="4:24" x14ac:dyDescent="0.2">
      <c r="D204" s="97" t="str">
        <f t="shared" si="73"/>
        <v/>
      </c>
      <c r="X204" s="62" t="str">
        <f>IFERROR(INDEX('GİRİŞ ANALİZİ'!$D:$D, MATCH($W204,'GİRİŞ ANALİZİ'!$B:$B, 0)),"Bulunamadı")</f>
        <v>Bulunamadı</v>
      </c>
    </row>
    <row r="205" spans="4:24" x14ac:dyDescent="0.2">
      <c r="D205" s="97" t="str">
        <f t="shared" si="73"/>
        <v/>
      </c>
      <c r="X205" s="62" t="str">
        <f>IFERROR(INDEX('GİRİŞ ANALİZİ'!$D:$D, MATCH($W205,'GİRİŞ ANALİZİ'!$B:$B, 0)),"Bulunamadı")</f>
        <v>Bulunamadı</v>
      </c>
    </row>
    <row r="206" spans="4:24" x14ac:dyDescent="0.2">
      <c r="D206" s="97" t="str">
        <f t="shared" si="73"/>
        <v/>
      </c>
      <c r="X206" s="62" t="str">
        <f>IFERROR(INDEX('GİRİŞ ANALİZİ'!$D:$D, MATCH($W206,'GİRİŞ ANALİZİ'!$B:$B, 0)),"Bulunamadı")</f>
        <v>Bulunamadı</v>
      </c>
    </row>
    <row r="207" spans="4:24" x14ac:dyDescent="0.2">
      <c r="D207" s="97" t="str">
        <f t="shared" si="73"/>
        <v/>
      </c>
      <c r="X207" s="62" t="str">
        <f>IFERROR(INDEX('GİRİŞ ANALİZİ'!$D:$D, MATCH($W207,'GİRİŞ ANALİZİ'!$B:$B, 0)),"Bulunamadı")</f>
        <v>Bulunamadı</v>
      </c>
    </row>
    <row r="208" spans="4:24" x14ac:dyDescent="0.2">
      <c r="D208" s="97" t="str">
        <f t="shared" si="73"/>
        <v/>
      </c>
      <c r="X208" s="62" t="str">
        <f>IFERROR(INDEX('GİRİŞ ANALİZİ'!$D:$D, MATCH($W208,'GİRİŞ ANALİZİ'!$B:$B, 0)),"Bulunamadı")</f>
        <v>Bulunamadı</v>
      </c>
    </row>
    <row r="209" spans="4:24" x14ac:dyDescent="0.2">
      <c r="D209" s="97" t="str">
        <f t="shared" si="73"/>
        <v/>
      </c>
      <c r="X209" s="62" t="str">
        <f>IFERROR(INDEX('GİRİŞ ANALİZİ'!$D:$D, MATCH($W209,'GİRİŞ ANALİZİ'!$B:$B, 0)),"Bulunamadı")</f>
        <v>Bulunamadı</v>
      </c>
    </row>
    <row r="210" spans="4:24" x14ac:dyDescent="0.2">
      <c r="D210" s="97" t="str">
        <f t="shared" si="73"/>
        <v/>
      </c>
      <c r="X210" s="62" t="str">
        <f>IFERROR(INDEX('GİRİŞ ANALİZİ'!$D:$D, MATCH($W210,'GİRİŞ ANALİZİ'!$B:$B, 0)),"Bulunamadı")</f>
        <v>Bulunamadı</v>
      </c>
    </row>
    <row r="211" spans="4:24" x14ac:dyDescent="0.2">
      <c r="D211" s="97" t="str">
        <f t="shared" si="73"/>
        <v/>
      </c>
      <c r="X211" s="62" t="str">
        <f>IFERROR(INDEX('GİRİŞ ANALİZİ'!$D:$D, MATCH($W211,'GİRİŞ ANALİZİ'!$B:$B, 0)),"Bulunamadı")</f>
        <v>Bulunamadı</v>
      </c>
    </row>
    <row r="212" spans="4:24" x14ac:dyDescent="0.2">
      <c r="D212" s="97" t="str">
        <f t="shared" si="73"/>
        <v/>
      </c>
      <c r="X212" s="62" t="str">
        <f>IFERROR(INDEX('GİRİŞ ANALİZİ'!$D:$D, MATCH($W212,'GİRİŞ ANALİZİ'!$B:$B, 0)),"Bulunamadı")</f>
        <v>Bulunamadı</v>
      </c>
    </row>
    <row r="213" spans="4:24" x14ac:dyDescent="0.2">
      <c r="D213" s="97" t="str">
        <f t="shared" si="73"/>
        <v/>
      </c>
      <c r="X213" s="62" t="str">
        <f>IFERROR(INDEX('GİRİŞ ANALİZİ'!$D:$D, MATCH($W213,'GİRİŞ ANALİZİ'!$B:$B, 0)),"Bulunamadı")</f>
        <v>Bulunamadı</v>
      </c>
    </row>
    <row r="214" spans="4:24" x14ac:dyDescent="0.2">
      <c r="D214" s="97" t="str">
        <f t="shared" si="73"/>
        <v/>
      </c>
      <c r="X214" s="62" t="str">
        <f>IFERROR(INDEX('GİRİŞ ANALİZİ'!$D:$D, MATCH($W214,'GİRİŞ ANALİZİ'!$B:$B, 0)),"Bulunamadı")</f>
        <v>Bulunamadı</v>
      </c>
    </row>
    <row r="215" spans="4:24" x14ac:dyDescent="0.2">
      <c r="D215" s="97" t="str">
        <f t="shared" si="73"/>
        <v/>
      </c>
      <c r="X215" s="62" t="str">
        <f>IFERROR(INDEX('GİRİŞ ANALİZİ'!$D:$D, MATCH($W215,'GİRİŞ ANALİZİ'!$B:$B, 0)),"Bulunamadı")</f>
        <v>Bulunamadı</v>
      </c>
    </row>
    <row r="216" spans="4:24" x14ac:dyDescent="0.2">
      <c r="D216" s="97" t="str">
        <f t="shared" si="73"/>
        <v/>
      </c>
      <c r="X216" s="62" t="str">
        <f>IFERROR(INDEX('GİRİŞ ANALİZİ'!$D:$D, MATCH($W216,'GİRİŞ ANALİZİ'!$B:$B, 0)),"Bulunamadı")</f>
        <v>Bulunamadı</v>
      </c>
    </row>
    <row r="217" spans="4:24" x14ac:dyDescent="0.2">
      <c r="D217" s="97" t="str">
        <f t="shared" si="73"/>
        <v/>
      </c>
      <c r="X217" s="62" t="str">
        <f>IFERROR(INDEX('GİRİŞ ANALİZİ'!$D:$D, MATCH($W217,'GİRİŞ ANALİZİ'!$B:$B, 0)),"Bulunamadı")</f>
        <v>Bulunamadı</v>
      </c>
    </row>
    <row r="218" spans="4:24" x14ac:dyDescent="0.2">
      <c r="D218" s="97" t="str">
        <f t="shared" si="73"/>
        <v/>
      </c>
      <c r="X218" s="62" t="str">
        <f>IFERROR(INDEX('GİRİŞ ANALİZİ'!$D:$D, MATCH($W218,'GİRİŞ ANALİZİ'!$B:$B, 0)),"Bulunamadı")</f>
        <v>Bulunamadı</v>
      </c>
    </row>
    <row r="219" spans="4:24" x14ac:dyDescent="0.2">
      <c r="D219" s="97" t="str">
        <f t="shared" si="73"/>
        <v/>
      </c>
      <c r="X219" s="62" t="str">
        <f>IFERROR(INDEX('GİRİŞ ANALİZİ'!$D:$D, MATCH($W219,'GİRİŞ ANALİZİ'!$B:$B, 0)),"Bulunamadı")</f>
        <v>Bulunamadı</v>
      </c>
    </row>
    <row r="220" spans="4:24" x14ac:dyDescent="0.2">
      <c r="D220" s="97" t="str">
        <f t="shared" si="73"/>
        <v/>
      </c>
      <c r="X220" s="62" t="str">
        <f>IFERROR(INDEX('GİRİŞ ANALİZİ'!$D:$D, MATCH($W220,'GİRİŞ ANALİZİ'!$B:$B, 0)),"Bulunamadı")</f>
        <v>Bulunamadı</v>
      </c>
    </row>
    <row r="221" spans="4:24" x14ac:dyDescent="0.2">
      <c r="D221" s="97" t="str">
        <f t="shared" si="73"/>
        <v/>
      </c>
      <c r="X221" s="62" t="str">
        <f>IFERROR(INDEX('GİRİŞ ANALİZİ'!$D:$D, MATCH($W221,'GİRİŞ ANALİZİ'!$B:$B, 0)),"Bulunamadı")</f>
        <v>Bulunamadı</v>
      </c>
    </row>
    <row r="222" spans="4:24" x14ac:dyDescent="0.2">
      <c r="D222" s="97" t="str">
        <f t="shared" si="73"/>
        <v/>
      </c>
      <c r="X222" s="62" t="str">
        <f>IFERROR(INDEX('GİRİŞ ANALİZİ'!$D:$D, MATCH($W222,'GİRİŞ ANALİZİ'!$B:$B, 0)),"Bulunamadı")</f>
        <v>Bulunamadı</v>
      </c>
    </row>
    <row r="223" spans="4:24" x14ac:dyDescent="0.2">
      <c r="D223" s="97" t="str">
        <f t="shared" si="73"/>
        <v/>
      </c>
      <c r="X223" s="62" t="str">
        <f>IFERROR(INDEX('GİRİŞ ANALİZİ'!$D:$D, MATCH($W223,'GİRİŞ ANALİZİ'!$B:$B, 0)),"Bulunamadı")</f>
        <v>Bulunamadı</v>
      </c>
    </row>
    <row r="224" spans="4:24" x14ac:dyDescent="0.2">
      <c r="D224" s="97" t="str">
        <f t="shared" si="73"/>
        <v/>
      </c>
      <c r="X224" s="62" t="str">
        <f>IFERROR(INDEX('GİRİŞ ANALİZİ'!$D:$D, MATCH($W224,'GİRİŞ ANALİZİ'!$B:$B, 0)),"Bulunamadı")</f>
        <v>Bulunamadı</v>
      </c>
    </row>
    <row r="225" spans="4:24" x14ac:dyDescent="0.2">
      <c r="D225" s="97" t="str">
        <f t="shared" si="73"/>
        <v/>
      </c>
      <c r="X225" s="62" t="str">
        <f>IFERROR(INDEX('GİRİŞ ANALİZİ'!$D:$D, MATCH($W225,'GİRİŞ ANALİZİ'!$B:$B, 0)),"Bulunamadı")</f>
        <v>Bulunamadı</v>
      </c>
    </row>
    <row r="226" spans="4:24" x14ac:dyDescent="0.2">
      <c r="D226" s="97" t="str">
        <f t="shared" si="73"/>
        <v/>
      </c>
      <c r="X226" s="62" t="str">
        <f>IFERROR(INDEX('GİRİŞ ANALİZİ'!$D:$D, MATCH($W226,'GİRİŞ ANALİZİ'!$B:$B, 0)),"Bulunamadı")</f>
        <v>Bulunamadı</v>
      </c>
    </row>
    <row r="227" spans="4:24" x14ac:dyDescent="0.2">
      <c r="D227" s="97" t="str">
        <f t="shared" si="73"/>
        <v/>
      </c>
      <c r="X227" s="62" t="str">
        <f>IFERROR(INDEX('GİRİŞ ANALİZİ'!$D:$D, MATCH($W227,'GİRİŞ ANALİZİ'!$B:$B, 0)),"Bulunamadı")</f>
        <v>Bulunamadı</v>
      </c>
    </row>
    <row r="228" spans="4:24" x14ac:dyDescent="0.2">
      <c r="D228" s="97" t="str">
        <f t="shared" si="73"/>
        <v/>
      </c>
      <c r="X228" s="62" t="str">
        <f>IFERROR(INDEX('GİRİŞ ANALİZİ'!$D:$D, MATCH($W228,'GİRİŞ ANALİZİ'!$B:$B, 0)),"Bulunamadı")</f>
        <v>Bulunamadı</v>
      </c>
    </row>
    <row r="229" spans="4:24" x14ac:dyDescent="0.2">
      <c r="D229" s="97" t="str">
        <f t="shared" si="73"/>
        <v/>
      </c>
      <c r="X229" s="62" t="str">
        <f>IFERROR(INDEX('GİRİŞ ANALİZİ'!$D:$D, MATCH($W229,'GİRİŞ ANALİZİ'!$B:$B, 0)),"Bulunamadı")</f>
        <v>Bulunamadı</v>
      </c>
    </row>
    <row r="230" spans="4:24" x14ac:dyDescent="0.2">
      <c r="D230" s="97" t="str">
        <f t="shared" si="73"/>
        <v/>
      </c>
      <c r="X230" s="62" t="str">
        <f>IFERROR(INDEX('GİRİŞ ANALİZİ'!$D:$D, MATCH($W230,'GİRİŞ ANALİZİ'!$B:$B, 0)),"Bulunamadı")</f>
        <v>Bulunamadı</v>
      </c>
    </row>
    <row r="231" spans="4:24" x14ac:dyDescent="0.2">
      <c r="D231" s="97" t="str">
        <f t="shared" si="73"/>
        <v/>
      </c>
      <c r="X231" s="62" t="str">
        <f>IFERROR(INDEX('GİRİŞ ANALİZİ'!$D:$D, MATCH($W231,'GİRİŞ ANALİZİ'!$B:$B, 0)),"Bulunamadı")</f>
        <v>Bulunamadı</v>
      </c>
    </row>
    <row r="232" spans="4:24" x14ac:dyDescent="0.2">
      <c r="D232" s="97" t="str">
        <f t="shared" si="73"/>
        <v/>
      </c>
      <c r="X232" s="62" t="str">
        <f>IFERROR(INDEX('GİRİŞ ANALİZİ'!$D:$D, MATCH($W232,'GİRİŞ ANALİZİ'!$B:$B, 0)),"Bulunamadı")</f>
        <v>Bulunamadı</v>
      </c>
    </row>
    <row r="233" spans="4:24" x14ac:dyDescent="0.2">
      <c r="D233" s="97" t="str">
        <f t="shared" si="73"/>
        <v/>
      </c>
      <c r="X233" s="62" t="str">
        <f>IFERROR(INDEX('GİRİŞ ANALİZİ'!$D:$D, MATCH($W233,'GİRİŞ ANALİZİ'!$B:$B, 0)),"Bulunamadı")</f>
        <v>Bulunamadı</v>
      </c>
    </row>
    <row r="234" spans="4:24" x14ac:dyDescent="0.2">
      <c r="D234" s="97" t="str">
        <f t="shared" si="73"/>
        <v/>
      </c>
      <c r="X234" s="62" t="str">
        <f>IFERROR(INDEX('GİRİŞ ANALİZİ'!$D:$D, MATCH($W234,'GİRİŞ ANALİZİ'!$B:$B, 0)),"Bulunamadı")</f>
        <v>Bulunamadı</v>
      </c>
    </row>
    <row r="235" spans="4:24" x14ac:dyDescent="0.2">
      <c r="D235" s="97" t="str">
        <f t="shared" si="73"/>
        <v/>
      </c>
      <c r="X235" s="62" t="str">
        <f>IFERROR(INDEX('GİRİŞ ANALİZİ'!$D:$D, MATCH($W235,'GİRİŞ ANALİZİ'!$B:$B, 0)),"Bulunamadı")</f>
        <v>Bulunamadı</v>
      </c>
    </row>
    <row r="236" spans="4:24" x14ac:dyDescent="0.2">
      <c r="D236" s="97" t="str">
        <f t="shared" si="73"/>
        <v/>
      </c>
      <c r="X236" s="62" t="str">
        <f>IFERROR(INDEX('GİRİŞ ANALİZİ'!$D:$D, MATCH($W236,'GİRİŞ ANALİZİ'!$B:$B, 0)),"Bulunamadı")</f>
        <v>Bulunamadı</v>
      </c>
    </row>
    <row r="237" spans="4:24" x14ac:dyDescent="0.2">
      <c r="D237" s="97" t="str">
        <f t="shared" si="73"/>
        <v/>
      </c>
      <c r="X237" s="62" t="str">
        <f>IFERROR(INDEX('GİRİŞ ANALİZİ'!$D:$D, MATCH($W237,'GİRİŞ ANALİZİ'!$B:$B, 0)),"Bulunamadı")</f>
        <v>Bulunamadı</v>
      </c>
    </row>
    <row r="238" spans="4:24" x14ac:dyDescent="0.2">
      <c r="D238" s="97" t="str">
        <f t="shared" si="73"/>
        <v/>
      </c>
      <c r="X238" s="62" t="str">
        <f>IFERROR(INDEX('GİRİŞ ANALİZİ'!$D:$D, MATCH($W238,'GİRİŞ ANALİZİ'!$B:$B, 0)),"Bulunamadı")</f>
        <v>Bulunamadı</v>
      </c>
    </row>
    <row r="239" spans="4:24" x14ac:dyDescent="0.2">
      <c r="D239" s="97" t="str">
        <f t="shared" si="73"/>
        <v/>
      </c>
      <c r="X239" s="62" t="str">
        <f>IFERROR(INDEX('GİRİŞ ANALİZİ'!$D:$D, MATCH($W239,'GİRİŞ ANALİZİ'!$B:$B, 0)),"Bulunamadı")</f>
        <v>Bulunamadı</v>
      </c>
    </row>
    <row r="240" spans="4:24" x14ac:dyDescent="0.2">
      <c r="D240" s="97" t="str">
        <f t="shared" si="73"/>
        <v/>
      </c>
      <c r="X240" s="62" t="str">
        <f>IFERROR(INDEX('GİRİŞ ANALİZİ'!$D:$D, MATCH($W240,'GİRİŞ ANALİZİ'!$B:$B, 0)),"Bulunamadı")</f>
        <v>Bulunamadı</v>
      </c>
    </row>
    <row r="241" spans="4:24" x14ac:dyDescent="0.2">
      <c r="D241" s="97" t="str">
        <f t="shared" si="73"/>
        <v/>
      </c>
      <c r="X241" s="62" t="str">
        <f>IFERROR(INDEX('GİRİŞ ANALİZİ'!$D:$D, MATCH($W241,'GİRİŞ ANALİZİ'!$B:$B, 0)),"Bulunamadı")</f>
        <v>Bulunamadı</v>
      </c>
    </row>
    <row r="242" spans="4:24" x14ac:dyDescent="0.2">
      <c r="D242" s="97" t="str">
        <f t="shared" si="73"/>
        <v/>
      </c>
      <c r="X242" s="62" t="str">
        <f>IFERROR(INDEX('GİRİŞ ANALİZİ'!$D:$D, MATCH($W242,'GİRİŞ ANALİZİ'!$B:$B, 0)),"Bulunamadı")</f>
        <v>Bulunamadı</v>
      </c>
    </row>
    <row r="243" spans="4:24" x14ac:dyDescent="0.2">
      <c r="D243" s="97" t="str">
        <f t="shared" si="73"/>
        <v/>
      </c>
      <c r="X243" s="62" t="str">
        <f>IFERROR(INDEX('GİRİŞ ANALİZİ'!$D:$D, MATCH($W243,'GİRİŞ ANALİZİ'!$B:$B, 0)),"Bulunamadı")</f>
        <v>Bulunamadı</v>
      </c>
    </row>
    <row r="244" spans="4:24" x14ac:dyDescent="0.2">
      <c r="D244" s="97" t="str">
        <f t="shared" si="73"/>
        <v/>
      </c>
      <c r="X244" s="62" t="str">
        <f>IFERROR(INDEX('GİRİŞ ANALİZİ'!$D:$D, MATCH($W244,'GİRİŞ ANALİZİ'!$B:$B, 0)),"Bulunamadı")</f>
        <v>Bulunamadı</v>
      </c>
    </row>
    <row r="245" spans="4:24" x14ac:dyDescent="0.2">
      <c r="D245" s="97" t="str">
        <f t="shared" si="73"/>
        <v/>
      </c>
      <c r="X245" s="62" t="str">
        <f>IFERROR(INDEX('GİRİŞ ANALİZİ'!$D:$D, MATCH($W245,'GİRİŞ ANALİZİ'!$B:$B, 0)),"Bulunamadı")</f>
        <v>Bulunamadı</v>
      </c>
    </row>
    <row r="246" spans="4:24" x14ac:dyDescent="0.2">
      <c r="D246" s="97" t="str">
        <f t="shared" si="73"/>
        <v/>
      </c>
      <c r="X246" s="62" t="str">
        <f>IFERROR(INDEX('GİRİŞ ANALİZİ'!$D:$D, MATCH($W246,'GİRİŞ ANALİZİ'!$B:$B, 0)),"Bulunamadı")</f>
        <v>Bulunamadı</v>
      </c>
    </row>
    <row r="247" spans="4:24" x14ac:dyDescent="0.2">
      <c r="D247" s="97" t="str">
        <f t="shared" si="73"/>
        <v/>
      </c>
      <c r="X247" s="62" t="str">
        <f>IFERROR(INDEX('GİRİŞ ANALİZİ'!$D:$D, MATCH($W247,'GİRİŞ ANALİZİ'!$B:$B, 0)),"Bulunamadı")</f>
        <v>Bulunamadı</v>
      </c>
    </row>
    <row r="248" spans="4:24" x14ac:dyDescent="0.2">
      <c r="D248" s="97" t="str">
        <f t="shared" si="73"/>
        <v/>
      </c>
      <c r="X248" s="62" t="str">
        <f>IFERROR(INDEX('GİRİŞ ANALİZİ'!$D:$D, MATCH($W248,'GİRİŞ ANALİZİ'!$B:$B, 0)),"Bulunamadı")</f>
        <v>Bulunamadı</v>
      </c>
    </row>
    <row r="249" spans="4:24" x14ac:dyDescent="0.2">
      <c r="D249" s="97" t="str">
        <f t="shared" si="73"/>
        <v/>
      </c>
      <c r="X249" s="62" t="str">
        <f>IFERROR(INDEX('GİRİŞ ANALİZİ'!$D:$D, MATCH($W249,'GİRİŞ ANALİZİ'!$B:$B, 0)),"Bulunamadı")</f>
        <v>Bulunamadı</v>
      </c>
    </row>
    <row r="250" spans="4:24" x14ac:dyDescent="0.2">
      <c r="D250" s="97" t="str">
        <f t="shared" si="73"/>
        <v/>
      </c>
      <c r="X250" s="62" t="str">
        <f>IFERROR(INDEX('GİRİŞ ANALİZİ'!$D:$D, MATCH($W250,'GİRİŞ ANALİZİ'!$B:$B, 0)),"Bulunamadı")</f>
        <v>Bulunamadı</v>
      </c>
    </row>
    <row r="251" spans="4:24" x14ac:dyDescent="0.2">
      <c r="D251" s="97" t="str">
        <f t="shared" si="73"/>
        <v/>
      </c>
      <c r="X251" s="62" t="str">
        <f>IFERROR(INDEX('GİRİŞ ANALİZİ'!$D:$D, MATCH($W251,'GİRİŞ ANALİZİ'!$B:$B, 0)),"Bulunamadı")</f>
        <v>Bulunamadı</v>
      </c>
    </row>
    <row r="252" spans="4:24" x14ac:dyDescent="0.2">
      <c r="D252" s="97" t="str">
        <f t="shared" si="73"/>
        <v/>
      </c>
      <c r="X252" s="62" t="str">
        <f>IFERROR(INDEX('GİRİŞ ANALİZİ'!$D:$D, MATCH($W252,'GİRİŞ ANALİZİ'!$B:$B, 0)),"Bulunamadı")</f>
        <v>Bulunamadı</v>
      </c>
    </row>
    <row r="253" spans="4:24" x14ac:dyDescent="0.2">
      <c r="D253" s="97" t="str">
        <f t="shared" si="73"/>
        <v/>
      </c>
      <c r="X253" s="62" t="str">
        <f>IFERROR(INDEX('GİRİŞ ANALİZİ'!$D:$D, MATCH($W253,'GİRİŞ ANALİZİ'!$B:$B, 0)),"Bulunamadı")</f>
        <v>Bulunamadı</v>
      </c>
    </row>
    <row r="254" spans="4:24" x14ac:dyDescent="0.2">
      <c r="D254" s="97" t="str">
        <f t="shared" si="73"/>
        <v/>
      </c>
      <c r="X254" s="62" t="str">
        <f>IFERROR(INDEX('GİRİŞ ANALİZİ'!$D:$D, MATCH($W254,'GİRİŞ ANALİZİ'!$B:$B, 0)),"Bulunamadı")</f>
        <v>Bulunamadı</v>
      </c>
    </row>
    <row r="255" spans="4:24" x14ac:dyDescent="0.2">
      <c r="D255" s="97" t="str">
        <f t="shared" si="73"/>
        <v/>
      </c>
      <c r="X255" s="62" t="str">
        <f>IFERROR(INDEX('GİRİŞ ANALİZİ'!$D:$D, MATCH($W255,'GİRİŞ ANALİZİ'!$B:$B, 0)),"Bulunamadı")</f>
        <v>Bulunamadı</v>
      </c>
    </row>
    <row r="256" spans="4:24" x14ac:dyDescent="0.2">
      <c r="D256" s="97" t="str">
        <f t="shared" si="73"/>
        <v/>
      </c>
      <c r="X256" s="62" t="str">
        <f>IFERROR(INDEX('GİRİŞ ANALİZİ'!$D:$D, MATCH($W256,'GİRİŞ ANALİZİ'!$B:$B, 0)),"Bulunamadı")</f>
        <v>Bulunamadı</v>
      </c>
    </row>
    <row r="257" spans="4:24" x14ac:dyDescent="0.2">
      <c r="D257" s="97" t="str">
        <f t="shared" si="73"/>
        <v/>
      </c>
      <c r="X257" s="62" t="str">
        <f>IFERROR(INDEX('GİRİŞ ANALİZİ'!$D:$D, MATCH($W257,'GİRİŞ ANALİZİ'!$B:$B, 0)),"Bulunamadı")</f>
        <v>Bulunamadı</v>
      </c>
    </row>
    <row r="258" spans="4:24" x14ac:dyDescent="0.2">
      <c r="D258" s="97" t="str">
        <f t="shared" si="73"/>
        <v/>
      </c>
      <c r="X258" s="62" t="str">
        <f>IFERROR(INDEX('GİRİŞ ANALİZİ'!$D:$D, MATCH($W258,'GİRİŞ ANALİZİ'!$B:$B, 0)),"Bulunamadı")</f>
        <v>Bulunamadı</v>
      </c>
    </row>
    <row r="259" spans="4:24" x14ac:dyDescent="0.2">
      <c r="D259" s="97" t="str">
        <f t="shared" ref="D259:D322" si="74">IF(C259="H5130003","HW.CASHEW NUT W320____________( 22.68 KG )",IF(C259="H5130001","HW.CASHEW NUT W240____________( 22.68 KG )",IF(C259="H5130164","HW.CASHEW NUT W180____________( 22.68 KG )","")))</f>
        <v/>
      </c>
      <c r="X259" s="62" t="str">
        <f>IFERROR(INDEX('GİRİŞ ANALİZİ'!$D:$D, MATCH($W259,'GİRİŞ ANALİZİ'!$B:$B, 0)),"Bulunamadı")</f>
        <v>Bulunamadı</v>
      </c>
    </row>
    <row r="260" spans="4:24" x14ac:dyDescent="0.2">
      <c r="D260" s="97" t="str">
        <f t="shared" si="74"/>
        <v/>
      </c>
      <c r="X260" s="62" t="str">
        <f>IFERROR(INDEX('GİRİŞ ANALİZİ'!$D:$D, MATCH($W260,'GİRİŞ ANALİZİ'!$B:$B, 0)),"Bulunamadı")</f>
        <v>Bulunamadı</v>
      </c>
    </row>
    <row r="261" spans="4:24" x14ac:dyDescent="0.2">
      <c r="D261" s="97" t="str">
        <f t="shared" si="74"/>
        <v/>
      </c>
      <c r="X261" s="62" t="str">
        <f>IFERROR(INDEX('GİRİŞ ANALİZİ'!$D:$D, MATCH($W261,'GİRİŞ ANALİZİ'!$B:$B, 0)),"Bulunamadı")</f>
        <v>Bulunamadı</v>
      </c>
    </row>
    <row r="262" spans="4:24" x14ac:dyDescent="0.2">
      <c r="D262" s="97" t="str">
        <f t="shared" si="74"/>
        <v/>
      </c>
      <c r="X262" s="62" t="str">
        <f>IFERROR(INDEX('GİRİŞ ANALİZİ'!$D:$D, MATCH($W262,'GİRİŞ ANALİZİ'!$B:$B, 0)),"Bulunamadı")</f>
        <v>Bulunamadı</v>
      </c>
    </row>
    <row r="263" spans="4:24" x14ac:dyDescent="0.2">
      <c r="D263" s="97" t="str">
        <f t="shared" si="74"/>
        <v/>
      </c>
      <c r="X263" s="62" t="str">
        <f>IFERROR(INDEX('GİRİŞ ANALİZİ'!$D:$D, MATCH($W263,'GİRİŞ ANALİZİ'!$B:$B, 0)),"Bulunamadı")</f>
        <v>Bulunamadı</v>
      </c>
    </row>
    <row r="264" spans="4:24" x14ac:dyDescent="0.2">
      <c r="D264" s="97" t="str">
        <f t="shared" si="74"/>
        <v/>
      </c>
      <c r="X264" s="62" t="str">
        <f>IFERROR(INDEX('GİRİŞ ANALİZİ'!$D:$D, MATCH($W264,'GİRİŞ ANALİZİ'!$B:$B, 0)),"Bulunamadı")</f>
        <v>Bulunamadı</v>
      </c>
    </row>
    <row r="265" spans="4:24" x14ac:dyDescent="0.2">
      <c r="D265" s="97" t="str">
        <f t="shared" si="74"/>
        <v/>
      </c>
      <c r="X265" s="62" t="str">
        <f>IFERROR(INDEX('GİRİŞ ANALİZİ'!$D:$D, MATCH($W265,'GİRİŞ ANALİZİ'!$B:$B, 0)),"Bulunamadı")</f>
        <v>Bulunamadı</v>
      </c>
    </row>
    <row r="266" spans="4:24" x14ac:dyDescent="0.2">
      <c r="D266" s="97" t="str">
        <f t="shared" si="74"/>
        <v/>
      </c>
      <c r="X266" s="62" t="str">
        <f>IFERROR(INDEX('GİRİŞ ANALİZİ'!$D:$D, MATCH($W266,'GİRİŞ ANALİZİ'!$B:$B, 0)),"Bulunamadı")</f>
        <v>Bulunamadı</v>
      </c>
    </row>
    <row r="267" spans="4:24" x14ac:dyDescent="0.2">
      <c r="D267" s="97" t="str">
        <f t="shared" si="74"/>
        <v/>
      </c>
      <c r="X267" s="62" t="str">
        <f>IFERROR(INDEX('GİRİŞ ANALİZİ'!$D:$D, MATCH($W267,'GİRİŞ ANALİZİ'!$B:$B, 0)),"Bulunamadı")</f>
        <v>Bulunamadı</v>
      </c>
    </row>
    <row r="268" spans="4:24" x14ac:dyDescent="0.2">
      <c r="D268" s="97" t="str">
        <f t="shared" si="74"/>
        <v/>
      </c>
      <c r="X268" s="62" t="str">
        <f>IFERROR(INDEX('GİRİŞ ANALİZİ'!$D:$D, MATCH($W268,'GİRİŞ ANALİZİ'!$B:$B, 0)),"Bulunamadı")</f>
        <v>Bulunamadı</v>
      </c>
    </row>
    <row r="269" spans="4:24" x14ac:dyDescent="0.2">
      <c r="D269" s="97" t="str">
        <f t="shared" si="74"/>
        <v/>
      </c>
      <c r="X269" s="62" t="str">
        <f>IFERROR(INDEX('GİRİŞ ANALİZİ'!$D:$D, MATCH($W269,'GİRİŞ ANALİZİ'!$B:$B, 0)),"Bulunamadı")</f>
        <v>Bulunamadı</v>
      </c>
    </row>
    <row r="270" spans="4:24" x14ac:dyDescent="0.2">
      <c r="D270" s="97" t="str">
        <f t="shared" si="74"/>
        <v/>
      </c>
      <c r="X270" s="62" t="str">
        <f>IFERROR(INDEX('GİRİŞ ANALİZİ'!$D:$D, MATCH($W270,'GİRİŞ ANALİZİ'!$B:$B, 0)),"Bulunamadı")</f>
        <v>Bulunamadı</v>
      </c>
    </row>
    <row r="271" spans="4:24" x14ac:dyDescent="0.2">
      <c r="D271" s="97" t="str">
        <f t="shared" si="74"/>
        <v/>
      </c>
      <c r="X271" s="62" t="str">
        <f>IFERROR(INDEX('GİRİŞ ANALİZİ'!$D:$D, MATCH($W271,'GİRİŞ ANALİZİ'!$B:$B, 0)),"Bulunamadı")</f>
        <v>Bulunamadı</v>
      </c>
    </row>
    <row r="272" spans="4:24" x14ac:dyDescent="0.2">
      <c r="D272" s="97" t="str">
        <f t="shared" si="74"/>
        <v/>
      </c>
      <c r="X272" s="62" t="str">
        <f>IFERROR(INDEX('GİRİŞ ANALİZİ'!$D:$D, MATCH($W272,'GİRİŞ ANALİZİ'!$B:$B, 0)),"Bulunamadı")</f>
        <v>Bulunamadı</v>
      </c>
    </row>
    <row r="273" spans="4:24" x14ac:dyDescent="0.2">
      <c r="D273" s="97" t="str">
        <f t="shared" si="74"/>
        <v/>
      </c>
      <c r="X273" s="62" t="str">
        <f>IFERROR(INDEX('GİRİŞ ANALİZİ'!$D:$D, MATCH($W273,'GİRİŞ ANALİZİ'!$B:$B, 0)),"Bulunamadı")</f>
        <v>Bulunamadı</v>
      </c>
    </row>
    <row r="274" spans="4:24" x14ac:dyDescent="0.2">
      <c r="D274" s="97" t="str">
        <f t="shared" si="74"/>
        <v/>
      </c>
      <c r="X274" s="62" t="str">
        <f>IFERROR(INDEX('GİRİŞ ANALİZİ'!$D:$D, MATCH($W274,'GİRİŞ ANALİZİ'!$B:$B, 0)),"Bulunamadı")</f>
        <v>Bulunamadı</v>
      </c>
    </row>
    <row r="275" spans="4:24" x14ac:dyDescent="0.2">
      <c r="D275" s="97" t="str">
        <f t="shared" si="74"/>
        <v/>
      </c>
      <c r="X275" s="62" t="str">
        <f>IFERROR(INDEX('GİRİŞ ANALİZİ'!$D:$D, MATCH($W275,'GİRİŞ ANALİZİ'!$B:$B, 0)),"Bulunamadı")</f>
        <v>Bulunamadı</v>
      </c>
    </row>
    <row r="276" spans="4:24" x14ac:dyDescent="0.2">
      <c r="D276" s="97" t="str">
        <f t="shared" si="74"/>
        <v/>
      </c>
      <c r="X276" s="62" t="str">
        <f>IFERROR(INDEX('GİRİŞ ANALİZİ'!$D:$D, MATCH($W276,'GİRİŞ ANALİZİ'!$B:$B, 0)),"Bulunamadı")</f>
        <v>Bulunamadı</v>
      </c>
    </row>
    <row r="277" spans="4:24" x14ac:dyDescent="0.2">
      <c r="D277" s="97" t="str">
        <f t="shared" si="74"/>
        <v/>
      </c>
      <c r="X277" s="62" t="str">
        <f>IFERROR(INDEX('GİRİŞ ANALİZİ'!$D:$D, MATCH($W277,'GİRİŞ ANALİZİ'!$B:$B, 0)),"Bulunamadı")</f>
        <v>Bulunamadı</v>
      </c>
    </row>
    <row r="278" spans="4:24" x14ac:dyDescent="0.2">
      <c r="D278" s="97" t="str">
        <f t="shared" si="74"/>
        <v/>
      </c>
      <c r="X278" s="62" t="str">
        <f>IFERROR(INDEX('GİRİŞ ANALİZİ'!$D:$D, MATCH($W278,'GİRİŞ ANALİZİ'!$B:$B, 0)),"Bulunamadı")</f>
        <v>Bulunamadı</v>
      </c>
    </row>
    <row r="279" spans="4:24" x14ac:dyDescent="0.2">
      <c r="D279" s="97" t="str">
        <f t="shared" si="74"/>
        <v/>
      </c>
      <c r="X279" s="62" t="str">
        <f>IFERROR(INDEX('GİRİŞ ANALİZİ'!$D:$D, MATCH($W279,'GİRİŞ ANALİZİ'!$B:$B, 0)),"Bulunamadı")</f>
        <v>Bulunamadı</v>
      </c>
    </row>
    <row r="280" spans="4:24" x14ac:dyDescent="0.2">
      <c r="D280" s="97" t="str">
        <f t="shared" si="74"/>
        <v/>
      </c>
      <c r="X280" s="62" t="str">
        <f>IFERROR(INDEX('GİRİŞ ANALİZİ'!$D:$D, MATCH($W280,'GİRİŞ ANALİZİ'!$B:$B, 0)),"Bulunamadı")</f>
        <v>Bulunamadı</v>
      </c>
    </row>
    <row r="281" spans="4:24" x14ac:dyDescent="0.2">
      <c r="D281" s="97" t="str">
        <f t="shared" si="74"/>
        <v/>
      </c>
      <c r="X281" s="62" t="str">
        <f>IFERROR(INDEX('GİRİŞ ANALİZİ'!$D:$D, MATCH($W281,'GİRİŞ ANALİZİ'!$B:$B, 0)),"Bulunamadı")</f>
        <v>Bulunamadı</v>
      </c>
    </row>
    <row r="282" spans="4:24" x14ac:dyDescent="0.2">
      <c r="D282" s="97" t="str">
        <f t="shared" si="74"/>
        <v/>
      </c>
      <c r="X282" s="62" t="str">
        <f>IFERROR(INDEX('GİRİŞ ANALİZİ'!$D:$D, MATCH($W282,'GİRİŞ ANALİZİ'!$B:$B, 0)),"Bulunamadı")</f>
        <v>Bulunamadı</v>
      </c>
    </row>
    <row r="283" spans="4:24" x14ac:dyDescent="0.2">
      <c r="D283" s="97" t="str">
        <f t="shared" si="74"/>
        <v/>
      </c>
      <c r="X283" s="62" t="str">
        <f>IFERROR(INDEX('GİRİŞ ANALİZİ'!$D:$D, MATCH($W283,'GİRİŞ ANALİZİ'!$B:$B, 0)),"Bulunamadı")</f>
        <v>Bulunamadı</v>
      </c>
    </row>
    <row r="284" spans="4:24" x14ac:dyDescent="0.2">
      <c r="D284" s="97" t="str">
        <f t="shared" si="74"/>
        <v/>
      </c>
      <c r="X284" s="62" t="str">
        <f>IFERROR(INDEX('GİRİŞ ANALİZİ'!$D:$D, MATCH($W284,'GİRİŞ ANALİZİ'!$B:$B, 0)),"Bulunamadı")</f>
        <v>Bulunamadı</v>
      </c>
    </row>
    <row r="285" spans="4:24" x14ac:dyDescent="0.2">
      <c r="D285" s="97" t="str">
        <f t="shared" si="74"/>
        <v/>
      </c>
      <c r="X285" s="62" t="str">
        <f>IFERROR(INDEX('GİRİŞ ANALİZİ'!$D:$D, MATCH($W285,'GİRİŞ ANALİZİ'!$B:$B, 0)),"Bulunamadı")</f>
        <v>Bulunamadı</v>
      </c>
    </row>
    <row r="286" spans="4:24" x14ac:dyDescent="0.2">
      <c r="D286" s="97" t="str">
        <f t="shared" si="74"/>
        <v/>
      </c>
      <c r="X286" s="62" t="str">
        <f>IFERROR(INDEX('GİRİŞ ANALİZİ'!$D:$D, MATCH($W286,'GİRİŞ ANALİZİ'!$B:$B, 0)),"Bulunamadı")</f>
        <v>Bulunamadı</v>
      </c>
    </row>
    <row r="287" spans="4:24" x14ac:dyDescent="0.2">
      <c r="D287" s="97" t="str">
        <f t="shared" si="74"/>
        <v/>
      </c>
      <c r="X287" s="62" t="str">
        <f>IFERROR(INDEX('GİRİŞ ANALİZİ'!$D:$D, MATCH($W287,'GİRİŞ ANALİZİ'!$B:$B, 0)),"Bulunamadı")</f>
        <v>Bulunamadı</v>
      </c>
    </row>
    <row r="288" spans="4:24" x14ac:dyDescent="0.2">
      <c r="D288" s="97" t="str">
        <f t="shared" si="74"/>
        <v/>
      </c>
      <c r="X288" s="62" t="str">
        <f>IFERROR(INDEX('GİRİŞ ANALİZİ'!$D:$D, MATCH($W288,'GİRİŞ ANALİZİ'!$B:$B, 0)),"Bulunamadı")</f>
        <v>Bulunamadı</v>
      </c>
    </row>
    <row r="289" spans="4:24" x14ac:dyDescent="0.2">
      <c r="D289" s="97" t="str">
        <f t="shared" si="74"/>
        <v/>
      </c>
      <c r="X289" s="62" t="str">
        <f>IFERROR(INDEX('GİRİŞ ANALİZİ'!$D:$D, MATCH($W289,'GİRİŞ ANALİZİ'!$B:$B, 0)),"Bulunamadı")</f>
        <v>Bulunamadı</v>
      </c>
    </row>
    <row r="290" spans="4:24" x14ac:dyDescent="0.2">
      <c r="D290" s="97" t="str">
        <f t="shared" si="74"/>
        <v/>
      </c>
      <c r="X290" s="62" t="str">
        <f>IFERROR(INDEX('GİRİŞ ANALİZİ'!$D:$D, MATCH($W290,'GİRİŞ ANALİZİ'!$B:$B, 0)),"Bulunamadı")</f>
        <v>Bulunamadı</v>
      </c>
    </row>
    <row r="291" spans="4:24" x14ac:dyDescent="0.2">
      <c r="D291" s="97" t="str">
        <f t="shared" si="74"/>
        <v/>
      </c>
      <c r="X291" s="62" t="str">
        <f>IFERROR(INDEX('GİRİŞ ANALİZİ'!$D:$D, MATCH($W291,'GİRİŞ ANALİZİ'!$B:$B, 0)),"Bulunamadı")</f>
        <v>Bulunamadı</v>
      </c>
    </row>
    <row r="292" spans="4:24" x14ac:dyDescent="0.2">
      <c r="D292" s="97" t="str">
        <f t="shared" si="74"/>
        <v/>
      </c>
      <c r="X292" s="62" t="str">
        <f>IFERROR(INDEX('GİRİŞ ANALİZİ'!$D:$D, MATCH($W292,'GİRİŞ ANALİZİ'!$B:$B, 0)),"Bulunamadı")</f>
        <v>Bulunamadı</v>
      </c>
    </row>
    <row r="293" spans="4:24" x14ac:dyDescent="0.2">
      <c r="D293" s="97" t="str">
        <f t="shared" si="74"/>
        <v/>
      </c>
      <c r="X293" s="62" t="str">
        <f>IFERROR(INDEX('GİRİŞ ANALİZİ'!$D:$D, MATCH($W293,'GİRİŞ ANALİZİ'!$B:$B, 0)),"Bulunamadı")</f>
        <v>Bulunamadı</v>
      </c>
    </row>
    <row r="294" spans="4:24" x14ac:dyDescent="0.2">
      <c r="D294" s="97" t="str">
        <f t="shared" si="74"/>
        <v/>
      </c>
      <c r="X294" s="62" t="str">
        <f>IFERROR(INDEX('GİRİŞ ANALİZİ'!$D:$D, MATCH($W294,'GİRİŞ ANALİZİ'!$B:$B, 0)),"Bulunamadı")</f>
        <v>Bulunamadı</v>
      </c>
    </row>
    <row r="295" spans="4:24" x14ac:dyDescent="0.2">
      <c r="D295" s="97" t="str">
        <f t="shared" si="74"/>
        <v/>
      </c>
      <c r="X295" s="62" t="str">
        <f>IFERROR(INDEX('GİRİŞ ANALİZİ'!$D:$D, MATCH($W295,'GİRİŞ ANALİZİ'!$B:$B, 0)),"Bulunamadı")</f>
        <v>Bulunamadı</v>
      </c>
    </row>
    <row r="296" spans="4:24" x14ac:dyDescent="0.2">
      <c r="D296" s="97" t="str">
        <f t="shared" si="74"/>
        <v/>
      </c>
      <c r="X296" s="62" t="str">
        <f>IFERROR(INDEX('GİRİŞ ANALİZİ'!$D:$D, MATCH($W296,'GİRİŞ ANALİZİ'!$B:$B, 0)),"Bulunamadı")</f>
        <v>Bulunamadı</v>
      </c>
    </row>
    <row r="297" spans="4:24" x14ac:dyDescent="0.2">
      <c r="D297" s="97" t="str">
        <f t="shared" si="74"/>
        <v/>
      </c>
      <c r="X297" s="62" t="str">
        <f>IFERROR(INDEX('GİRİŞ ANALİZİ'!$D:$D, MATCH($W297,'GİRİŞ ANALİZİ'!$B:$B, 0)),"Bulunamadı")</f>
        <v>Bulunamadı</v>
      </c>
    </row>
    <row r="298" spans="4:24" x14ac:dyDescent="0.2">
      <c r="D298" s="97" t="str">
        <f t="shared" si="74"/>
        <v/>
      </c>
      <c r="X298" s="62" t="str">
        <f>IFERROR(INDEX('GİRİŞ ANALİZİ'!$D:$D, MATCH($W298,'GİRİŞ ANALİZİ'!$B:$B, 0)),"Bulunamadı")</f>
        <v>Bulunamadı</v>
      </c>
    </row>
    <row r="299" spans="4:24" x14ac:dyDescent="0.2">
      <c r="D299" s="97" t="str">
        <f t="shared" si="74"/>
        <v/>
      </c>
      <c r="X299" s="62" t="str">
        <f>IFERROR(INDEX('GİRİŞ ANALİZİ'!$D:$D, MATCH($W299,'GİRİŞ ANALİZİ'!$B:$B, 0)),"Bulunamadı")</f>
        <v>Bulunamadı</v>
      </c>
    </row>
    <row r="300" spans="4:24" x14ac:dyDescent="0.2">
      <c r="D300" s="97" t="str">
        <f t="shared" si="74"/>
        <v/>
      </c>
      <c r="X300" s="62" t="str">
        <f>IFERROR(INDEX('GİRİŞ ANALİZİ'!$D:$D, MATCH($W300,'GİRİŞ ANALİZİ'!$B:$B, 0)),"Bulunamadı")</f>
        <v>Bulunamadı</v>
      </c>
    </row>
    <row r="301" spans="4:24" x14ac:dyDescent="0.2">
      <c r="D301" s="97" t="str">
        <f t="shared" si="74"/>
        <v/>
      </c>
      <c r="X301" s="62" t="str">
        <f>IFERROR(INDEX('GİRİŞ ANALİZİ'!$D:$D, MATCH($W301,'GİRİŞ ANALİZİ'!$B:$B, 0)),"Bulunamadı")</f>
        <v>Bulunamadı</v>
      </c>
    </row>
    <row r="302" spans="4:24" x14ac:dyDescent="0.2">
      <c r="D302" s="97" t="str">
        <f t="shared" si="74"/>
        <v/>
      </c>
      <c r="X302" s="62" t="str">
        <f>IFERROR(INDEX('GİRİŞ ANALİZİ'!$D:$D, MATCH($W302,'GİRİŞ ANALİZİ'!$B:$B, 0)),"Bulunamadı")</f>
        <v>Bulunamadı</v>
      </c>
    </row>
    <row r="303" spans="4:24" x14ac:dyDescent="0.2">
      <c r="D303" s="97" t="str">
        <f t="shared" si="74"/>
        <v/>
      </c>
      <c r="X303" s="62" t="str">
        <f>IFERROR(INDEX('GİRİŞ ANALİZİ'!$D:$D, MATCH($W303,'GİRİŞ ANALİZİ'!$B:$B, 0)),"Bulunamadı")</f>
        <v>Bulunamadı</v>
      </c>
    </row>
    <row r="304" spans="4:24" x14ac:dyDescent="0.2">
      <c r="D304" s="97" t="str">
        <f t="shared" si="74"/>
        <v/>
      </c>
      <c r="X304" s="62" t="str">
        <f>IFERROR(INDEX('GİRİŞ ANALİZİ'!$D:$D, MATCH($W304,'GİRİŞ ANALİZİ'!$B:$B, 0)),"Bulunamadı")</f>
        <v>Bulunamadı</v>
      </c>
    </row>
    <row r="305" spans="4:24" x14ac:dyDescent="0.2">
      <c r="D305" s="97" t="str">
        <f t="shared" si="74"/>
        <v/>
      </c>
      <c r="X305" s="62" t="str">
        <f>IFERROR(INDEX('GİRİŞ ANALİZİ'!$D:$D, MATCH($W305,'GİRİŞ ANALİZİ'!$B:$B, 0)),"Bulunamadı")</f>
        <v>Bulunamadı</v>
      </c>
    </row>
    <row r="306" spans="4:24" x14ac:dyDescent="0.2">
      <c r="D306" s="97" t="str">
        <f t="shared" si="74"/>
        <v/>
      </c>
      <c r="X306" s="62" t="str">
        <f>IFERROR(INDEX('GİRİŞ ANALİZİ'!$D:$D, MATCH($W306,'GİRİŞ ANALİZİ'!$B:$B, 0)),"Bulunamadı")</f>
        <v>Bulunamadı</v>
      </c>
    </row>
    <row r="307" spans="4:24" x14ac:dyDescent="0.2">
      <c r="D307" s="97" t="str">
        <f t="shared" si="74"/>
        <v/>
      </c>
      <c r="X307" s="62" t="str">
        <f>IFERROR(INDEX('GİRİŞ ANALİZİ'!$D:$D, MATCH($W307,'GİRİŞ ANALİZİ'!$B:$B, 0)),"Bulunamadı")</f>
        <v>Bulunamadı</v>
      </c>
    </row>
    <row r="308" spans="4:24" x14ac:dyDescent="0.2">
      <c r="D308" s="97" t="str">
        <f t="shared" si="74"/>
        <v/>
      </c>
      <c r="X308" s="62" t="str">
        <f>IFERROR(INDEX('GİRİŞ ANALİZİ'!$D:$D, MATCH($W308,'GİRİŞ ANALİZİ'!$B:$B, 0)),"Bulunamadı")</f>
        <v>Bulunamadı</v>
      </c>
    </row>
    <row r="309" spans="4:24" x14ac:dyDescent="0.2">
      <c r="D309" s="97" t="str">
        <f t="shared" si="74"/>
        <v/>
      </c>
      <c r="X309" s="62" t="str">
        <f>IFERROR(INDEX('GİRİŞ ANALİZİ'!$D:$D, MATCH($W309,'GİRİŞ ANALİZİ'!$B:$B, 0)),"Bulunamadı")</f>
        <v>Bulunamadı</v>
      </c>
    </row>
    <row r="310" spans="4:24" x14ac:dyDescent="0.2">
      <c r="D310" s="97" t="str">
        <f t="shared" si="74"/>
        <v/>
      </c>
      <c r="X310" s="62" t="str">
        <f>IFERROR(INDEX('GİRİŞ ANALİZİ'!$D:$D, MATCH($W310,'GİRİŞ ANALİZİ'!$B:$B, 0)),"Bulunamadı")</f>
        <v>Bulunamadı</v>
      </c>
    </row>
    <row r="311" spans="4:24" x14ac:dyDescent="0.2">
      <c r="D311" s="97" t="str">
        <f t="shared" si="74"/>
        <v/>
      </c>
      <c r="X311" s="62" t="str">
        <f>IFERROR(INDEX('GİRİŞ ANALİZİ'!$D:$D, MATCH($W311,'GİRİŞ ANALİZİ'!$B:$B, 0)),"Bulunamadı")</f>
        <v>Bulunamadı</v>
      </c>
    </row>
    <row r="312" spans="4:24" x14ac:dyDescent="0.2">
      <c r="D312" s="97" t="str">
        <f t="shared" si="74"/>
        <v/>
      </c>
      <c r="X312" s="62" t="str">
        <f>IFERROR(INDEX('GİRİŞ ANALİZİ'!$D:$D, MATCH($W312,'GİRİŞ ANALİZİ'!$B:$B, 0)),"Bulunamadı")</f>
        <v>Bulunamadı</v>
      </c>
    </row>
    <row r="313" spans="4:24" x14ac:dyDescent="0.2">
      <c r="D313" s="97" t="str">
        <f t="shared" si="74"/>
        <v/>
      </c>
      <c r="X313" s="62" t="str">
        <f>IFERROR(INDEX('GİRİŞ ANALİZİ'!$D:$D, MATCH($W313,'GİRİŞ ANALİZİ'!$B:$B, 0)),"Bulunamadı")</f>
        <v>Bulunamadı</v>
      </c>
    </row>
    <row r="314" spans="4:24" x14ac:dyDescent="0.2">
      <c r="D314" s="97" t="str">
        <f t="shared" si="74"/>
        <v/>
      </c>
      <c r="X314" s="62" t="str">
        <f>IFERROR(INDEX('GİRİŞ ANALİZİ'!$D:$D, MATCH($W314,'GİRİŞ ANALİZİ'!$B:$B, 0)),"Bulunamadı")</f>
        <v>Bulunamadı</v>
      </c>
    </row>
    <row r="315" spans="4:24" x14ac:dyDescent="0.2">
      <c r="D315" s="97" t="str">
        <f t="shared" si="74"/>
        <v/>
      </c>
      <c r="X315" s="62" t="str">
        <f>IFERROR(INDEX('GİRİŞ ANALİZİ'!$D:$D, MATCH($W315,'GİRİŞ ANALİZİ'!$B:$B, 0)),"Bulunamadı")</f>
        <v>Bulunamadı</v>
      </c>
    </row>
    <row r="316" spans="4:24" x14ac:dyDescent="0.2">
      <c r="D316" s="97" t="str">
        <f t="shared" si="74"/>
        <v/>
      </c>
      <c r="X316" s="62" t="str">
        <f>IFERROR(INDEX('GİRİŞ ANALİZİ'!$D:$D, MATCH($W316,'GİRİŞ ANALİZİ'!$B:$B, 0)),"Bulunamadı")</f>
        <v>Bulunamadı</v>
      </c>
    </row>
    <row r="317" spans="4:24" x14ac:dyDescent="0.2">
      <c r="D317" s="97" t="str">
        <f t="shared" si="74"/>
        <v/>
      </c>
      <c r="X317" s="62" t="str">
        <f>IFERROR(INDEX('GİRİŞ ANALİZİ'!$D:$D, MATCH($W317,'GİRİŞ ANALİZİ'!$B:$B, 0)),"Bulunamadı")</f>
        <v>Bulunamadı</v>
      </c>
    </row>
    <row r="318" spans="4:24" x14ac:dyDescent="0.2">
      <c r="D318" s="97" t="str">
        <f t="shared" si="74"/>
        <v/>
      </c>
      <c r="X318" s="62" t="str">
        <f>IFERROR(INDEX('GİRİŞ ANALİZİ'!$D:$D, MATCH($W318,'GİRİŞ ANALİZİ'!$B:$B, 0)),"Bulunamadı")</f>
        <v>Bulunamadı</v>
      </c>
    </row>
    <row r="319" spans="4:24" x14ac:dyDescent="0.2">
      <c r="D319" s="97" t="str">
        <f t="shared" si="74"/>
        <v/>
      </c>
      <c r="X319" s="62" t="str">
        <f>IFERROR(INDEX('GİRİŞ ANALİZİ'!$D:$D, MATCH($W319,'GİRİŞ ANALİZİ'!$B:$B, 0)),"Bulunamadı")</f>
        <v>Bulunamadı</v>
      </c>
    </row>
    <row r="320" spans="4:24" x14ac:dyDescent="0.2">
      <c r="D320" s="97" t="str">
        <f t="shared" si="74"/>
        <v/>
      </c>
      <c r="X320" s="62" t="str">
        <f>IFERROR(INDEX('GİRİŞ ANALİZİ'!$D:$D, MATCH($W320,'GİRİŞ ANALİZİ'!$B:$B, 0)),"Bulunamadı")</f>
        <v>Bulunamadı</v>
      </c>
    </row>
    <row r="321" spans="4:24" x14ac:dyDescent="0.2">
      <c r="D321" s="97" t="str">
        <f t="shared" si="74"/>
        <v/>
      </c>
      <c r="X321" s="62" t="str">
        <f>IFERROR(INDEX('GİRİŞ ANALİZİ'!$D:$D, MATCH($W321,'GİRİŞ ANALİZİ'!$B:$B, 0)),"Bulunamadı")</f>
        <v>Bulunamadı</v>
      </c>
    </row>
    <row r="322" spans="4:24" x14ac:dyDescent="0.2">
      <c r="D322" s="97" t="str">
        <f t="shared" si="74"/>
        <v/>
      </c>
      <c r="X322" s="62" t="str">
        <f>IFERROR(INDEX('GİRİŞ ANALİZİ'!$D:$D, MATCH($W322,'GİRİŞ ANALİZİ'!$B:$B, 0)),"Bulunamadı")</f>
        <v>Bulunamadı</v>
      </c>
    </row>
    <row r="323" spans="4:24" x14ac:dyDescent="0.2">
      <c r="D323" s="97" t="str">
        <f t="shared" ref="D323:D386" si="75">IF(C323="H5130003","HW.CASHEW NUT W320____________( 22.68 KG )",IF(C323="H5130001","HW.CASHEW NUT W240____________( 22.68 KG )",IF(C323="H5130164","HW.CASHEW NUT W180____________( 22.68 KG )","")))</f>
        <v/>
      </c>
      <c r="X323" s="62" t="str">
        <f>IFERROR(INDEX('GİRİŞ ANALİZİ'!$D:$D, MATCH($W323,'GİRİŞ ANALİZİ'!$B:$B, 0)),"Bulunamadı")</f>
        <v>Bulunamadı</v>
      </c>
    </row>
    <row r="324" spans="4:24" x14ac:dyDescent="0.2">
      <c r="D324" s="97" t="str">
        <f t="shared" si="75"/>
        <v/>
      </c>
      <c r="X324" s="62" t="str">
        <f>IFERROR(INDEX('GİRİŞ ANALİZİ'!$D:$D, MATCH($W324,'GİRİŞ ANALİZİ'!$B:$B, 0)),"Bulunamadı")</f>
        <v>Bulunamadı</v>
      </c>
    </row>
    <row r="325" spans="4:24" x14ac:dyDescent="0.2">
      <c r="D325" s="97" t="str">
        <f t="shared" si="75"/>
        <v/>
      </c>
      <c r="X325" s="62" t="str">
        <f>IFERROR(INDEX('GİRİŞ ANALİZİ'!$D:$D, MATCH($W325,'GİRİŞ ANALİZİ'!$B:$B, 0)),"Bulunamadı")</f>
        <v>Bulunamadı</v>
      </c>
    </row>
    <row r="326" spans="4:24" x14ac:dyDescent="0.2">
      <c r="D326" s="97" t="str">
        <f t="shared" si="75"/>
        <v/>
      </c>
      <c r="X326" s="62" t="str">
        <f>IFERROR(INDEX('GİRİŞ ANALİZİ'!$D:$D, MATCH($W326,'GİRİŞ ANALİZİ'!$B:$B, 0)),"Bulunamadı")</f>
        <v>Bulunamadı</v>
      </c>
    </row>
    <row r="327" spans="4:24" x14ac:dyDescent="0.2">
      <c r="D327" s="97" t="str">
        <f t="shared" si="75"/>
        <v/>
      </c>
      <c r="X327" s="62" t="str">
        <f>IFERROR(INDEX('GİRİŞ ANALİZİ'!$D:$D, MATCH($W327,'GİRİŞ ANALİZİ'!$B:$B, 0)),"Bulunamadı")</f>
        <v>Bulunamadı</v>
      </c>
    </row>
    <row r="328" spans="4:24" x14ac:dyDescent="0.2">
      <c r="D328" s="97" t="str">
        <f t="shared" si="75"/>
        <v/>
      </c>
      <c r="X328" s="62" t="str">
        <f>IFERROR(INDEX('GİRİŞ ANALİZİ'!$D:$D, MATCH($W328,'GİRİŞ ANALİZİ'!$B:$B, 0)),"Bulunamadı")</f>
        <v>Bulunamadı</v>
      </c>
    </row>
    <row r="329" spans="4:24" x14ac:dyDescent="0.2">
      <c r="D329" s="97" t="str">
        <f t="shared" si="75"/>
        <v/>
      </c>
      <c r="X329" s="62" t="str">
        <f>IFERROR(INDEX('GİRİŞ ANALİZİ'!$D:$D, MATCH($W329,'GİRİŞ ANALİZİ'!$B:$B, 0)),"Bulunamadı")</f>
        <v>Bulunamadı</v>
      </c>
    </row>
    <row r="330" spans="4:24" x14ac:dyDescent="0.2">
      <c r="D330" s="97" t="str">
        <f t="shared" si="75"/>
        <v/>
      </c>
      <c r="X330" s="62" t="str">
        <f>IFERROR(INDEX('GİRİŞ ANALİZİ'!$D:$D, MATCH($W330,'GİRİŞ ANALİZİ'!$B:$B, 0)),"Bulunamadı")</f>
        <v>Bulunamadı</v>
      </c>
    </row>
    <row r="331" spans="4:24" x14ac:dyDescent="0.2">
      <c r="D331" s="97" t="str">
        <f t="shared" si="75"/>
        <v/>
      </c>
      <c r="X331" s="62" t="str">
        <f>IFERROR(INDEX('GİRİŞ ANALİZİ'!$D:$D, MATCH($W331,'GİRİŞ ANALİZİ'!$B:$B, 0)),"Bulunamadı")</f>
        <v>Bulunamadı</v>
      </c>
    </row>
    <row r="332" spans="4:24" x14ac:dyDescent="0.2">
      <c r="D332" s="97" t="str">
        <f t="shared" si="75"/>
        <v/>
      </c>
      <c r="X332" s="62" t="str">
        <f>IFERROR(INDEX('GİRİŞ ANALİZİ'!$D:$D, MATCH($W332,'GİRİŞ ANALİZİ'!$B:$B, 0)),"Bulunamadı")</f>
        <v>Bulunamadı</v>
      </c>
    </row>
    <row r="333" spans="4:24" x14ac:dyDescent="0.2">
      <c r="D333" s="97" t="str">
        <f t="shared" si="75"/>
        <v/>
      </c>
      <c r="X333" s="62" t="str">
        <f>IFERROR(INDEX('GİRİŞ ANALİZİ'!$D:$D, MATCH($W333,'GİRİŞ ANALİZİ'!$B:$B, 0)),"Bulunamadı")</f>
        <v>Bulunamadı</v>
      </c>
    </row>
    <row r="334" spans="4:24" x14ac:dyDescent="0.2">
      <c r="D334" s="97" t="str">
        <f t="shared" si="75"/>
        <v/>
      </c>
      <c r="X334" s="62" t="str">
        <f>IFERROR(INDEX('GİRİŞ ANALİZİ'!$D:$D, MATCH($W334,'GİRİŞ ANALİZİ'!$B:$B, 0)),"Bulunamadı")</f>
        <v>Bulunamadı</v>
      </c>
    </row>
    <row r="335" spans="4:24" x14ac:dyDescent="0.2">
      <c r="D335" s="97" t="str">
        <f t="shared" si="75"/>
        <v/>
      </c>
      <c r="X335" s="62" t="str">
        <f>IFERROR(INDEX('GİRİŞ ANALİZİ'!$D:$D, MATCH($W335,'GİRİŞ ANALİZİ'!$B:$B, 0)),"Bulunamadı")</f>
        <v>Bulunamadı</v>
      </c>
    </row>
    <row r="336" spans="4:24" x14ac:dyDescent="0.2">
      <c r="D336" s="97" t="str">
        <f t="shared" si="75"/>
        <v/>
      </c>
      <c r="X336" s="62" t="str">
        <f>IFERROR(INDEX('GİRİŞ ANALİZİ'!$D:$D, MATCH($W336,'GİRİŞ ANALİZİ'!$B:$B, 0)),"Bulunamadı")</f>
        <v>Bulunamadı</v>
      </c>
    </row>
    <row r="337" spans="4:24" x14ac:dyDescent="0.2">
      <c r="D337" s="97" t="str">
        <f t="shared" si="75"/>
        <v/>
      </c>
      <c r="X337" s="62" t="str">
        <f>IFERROR(INDEX('GİRİŞ ANALİZİ'!$D:$D, MATCH($W337,'GİRİŞ ANALİZİ'!$B:$B, 0)),"Bulunamadı")</f>
        <v>Bulunamadı</v>
      </c>
    </row>
    <row r="338" spans="4:24" x14ac:dyDescent="0.2">
      <c r="D338" s="97" t="str">
        <f t="shared" si="75"/>
        <v/>
      </c>
      <c r="X338" s="62" t="str">
        <f>IFERROR(INDEX('GİRİŞ ANALİZİ'!$D:$D, MATCH($W338,'GİRİŞ ANALİZİ'!$B:$B, 0)),"Bulunamadı")</f>
        <v>Bulunamadı</v>
      </c>
    </row>
    <row r="339" spans="4:24" x14ac:dyDescent="0.2">
      <c r="D339" s="97" t="str">
        <f t="shared" si="75"/>
        <v/>
      </c>
      <c r="X339" s="62" t="str">
        <f>IFERROR(INDEX('GİRİŞ ANALİZİ'!$D:$D, MATCH($W339,'GİRİŞ ANALİZİ'!$B:$B, 0)),"Bulunamadı")</f>
        <v>Bulunamadı</v>
      </c>
    </row>
    <row r="340" spans="4:24" x14ac:dyDescent="0.2">
      <c r="D340" s="97" t="str">
        <f t="shared" si="75"/>
        <v/>
      </c>
      <c r="X340" s="62" t="str">
        <f>IFERROR(INDEX('GİRİŞ ANALİZİ'!$D:$D, MATCH($W340,'GİRİŞ ANALİZİ'!$B:$B, 0)),"Bulunamadı")</f>
        <v>Bulunamadı</v>
      </c>
    </row>
    <row r="341" spans="4:24" x14ac:dyDescent="0.2">
      <c r="D341" s="97" t="str">
        <f t="shared" si="75"/>
        <v/>
      </c>
      <c r="X341" s="62" t="str">
        <f>IFERROR(INDEX('GİRİŞ ANALİZİ'!$D:$D, MATCH($W341,'GİRİŞ ANALİZİ'!$B:$B, 0)),"Bulunamadı")</f>
        <v>Bulunamadı</v>
      </c>
    </row>
    <row r="342" spans="4:24" x14ac:dyDescent="0.2">
      <c r="D342" s="97" t="str">
        <f t="shared" si="75"/>
        <v/>
      </c>
      <c r="X342" s="62" t="str">
        <f>IFERROR(INDEX('GİRİŞ ANALİZİ'!$D:$D, MATCH($W342,'GİRİŞ ANALİZİ'!$B:$B, 0)),"Bulunamadı")</f>
        <v>Bulunamadı</v>
      </c>
    </row>
    <row r="343" spans="4:24" x14ac:dyDescent="0.2">
      <c r="D343" s="97" t="str">
        <f t="shared" si="75"/>
        <v/>
      </c>
      <c r="X343" s="62" t="str">
        <f>IFERROR(INDEX('GİRİŞ ANALİZİ'!$D:$D, MATCH($W343,'GİRİŞ ANALİZİ'!$B:$B, 0)),"Bulunamadı")</f>
        <v>Bulunamadı</v>
      </c>
    </row>
    <row r="344" spans="4:24" x14ac:dyDescent="0.2">
      <c r="D344" s="97" t="str">
        <f t="shared" si="75"/>
        <v/>
      </c>
      <c r="X344" s="62" t="str">
        <f>IFERROR(INDEX('GİRİŞ ANALİZİ'!$D:$D, MATCH($W344,'GİRİŞ ANALİZİ'!$B:$B, 0)),"Bulunamadı")</f>
        <v>Bulunamadı</v>
      </c>
    </row>
    <row r="345" spans="4:24" x14ac:dyDescent="0.2">
      <c r="D345" s="97" t="str">
        <f t="shared" si="75"/>
        <v/>
      </c>
      <c r="X345" s="62" t="str">
        <f>IFERROR(INDEX('GİRİŞ ANALİZİ'!$D:$D, MATCH($W345,'GİRİŞ ANALİZİ'!$B:$B, 0)),"Bulunamadı")</f>
        <v>Bulunamadı</v>
      </c>
    </row>
    <row r="346" spans="4:24" x14ac:dyDescent="0.2">
      <c r="D346" s="97" t="str">
        <f t="shared" si="75"/>
        <v/>
      </c>
      <c r="X346" s="62" t="str">
        <f>IFERROR(INDEX('GİRİŞ ANALİZİ'!$D:$D, MATCH($W346,'GİRİŞ ANALİZİ'!$B:$B, 0)),"Bulunamadı")</f>
        <v>Bulunamadı</v>
      </c>
    </row>
    <row r="347" spans="4:24" x14ac:dyDescent="0.2">
      <c r="D347" s="97" t="str">
        <f t="shared" si="75"/>
        <v/>
      </c>
      <c r="X347" s="62" t="str">
        <f>IFERROR(INDEX('GİRİŞ ANALİZİ'!$D:$D, MATCH($W347,'GİRİŞ ANALİZİ'!$B:$B, 0)),"Bulunamadı")</f>
        <v>Bulunamadı</v>
      </c>
    </row>
    <row r="348" spans="4:24" x14ac:dyDescent="0.2">
      <c r="D348" s="97" t="str">
        <f t="shared" si="75"/>
        <v/>
      </c>
      <c r="X348" s="62" t="str">
        <f>IFERROR(INDEX('GİRİŞ ANALİZİ'!$D:$D, MATCH($W348,'GİRİŞ ANALİZİ'!$B:$B, 0)),"Bulunamadı")</f>
        <v>Bulunamadı</v>
      </c>
    </row>
    <row r="349" spans="4:24" x14ac:dyDescent="0.2">
      <c r="D349" s="97" t="str">
        <f t="shared" si="75"/>
        <v/>
      </c>
      <c r="X349" s="62" t="str">
        <f>IFERROR(INDEX('GİRİŞ ANALİZİ'!$D:$D, MATCH($W349,'GİRİŞ ANALİZİ'!$B:$B, 0)),"Bulunamadı")</f>
        <v>Bulunamadı</v>
      </c>
    </row>
    <row r="350" spans="4:24" x14ac:dyDescent="0.2">
      <c r="D350" s="97" t="str">
        <f t="shared" si="75"/>
        <v/>
      </c>
      <c r="X350" s="62" t="str">
        <f>IFERROR(INDEX('GİRİŞ ANALİZİ'!$D:$D, MATCH($W350,'GİRİŞ ANALİZİ'!$B:$B, 0)),"Bulunamadı")</f>
        <v>Bulunamadı</v>
      </c>
    </row>
    <row r="351" spans="4:24" x14ac:dyDescent="0.2">
      <c r="D351" s="97" t="str">
        <f t="shared" si="75"/>
        <v/>
      </c>
      <c r="X351" s="62" t="str">
        <f>IFERROR(INDEX('GİRİŞ ANALİZİ'!$D:$D, MATCH($W351,'GİRİŞ ANALİZİ'!$B:$B, 0)),"Bulunamadı")</f>
        <v>Bulunamadı</v>
      </c>
    </row>
    <row r="352" spans="4:24" x14ac:dyDescent="0.2">
      <c r="D352" s="97" t="str">
        <f t="shared" si="75"/>
        <v/>
      </c>
      <c r="X352" s="62" t="str">
        <f>IFERROR(INDEX('GİRİŞ ANALİZİ'!$D:$D, MATCH($W352,'GİRİŞ ANALİZİ'!$B:$B, 0)),"Bulunamadı")</f>
        <v>Bulunamadı</v>
      </c>
    </row>
    <row r="353" spans="4:24" x14ac:dyDescent="0.2">
      <c r="D353" s="97" t="str">
        <f t="shared" si="75"/>
        <v/>
      </c>
      <c r="X353" s="62" t="str">
        <f>IFERROR(INDEX('GİRİŞ ANALİZİ'!$D:$D, MATCH($W353,'GİRİŞ ANALİZİ'!$B:$B, 0)),"Bulunamadı")</f>
        <v>Bulunamadı</v>
      </c>
    </row>
    <row r="354" spans="4:24" x14ac:dyDescent="0.2">
      <c r="D354" s="97" t="str">
        <f t="shared" si="75"/>
        <v/>
      </c>
      <c r="X354" s="62" t="str">
        <f>IFERROR(INDEX('GİRİŞ ANALİZİ'!$D:$D, MATCH($W354,'GİRİŞ ANALİZİ'!$B:$B, 0)),"Bulunamadı")</f>
        <v>Bulunamadı</v>
      </c>
    </row>
    <row r="355" spans="4:24" x14ac:dyDescent="0.2">
      <c r="D355" s="97" t="str">
        <f t="shared" si="75"/>
        <v/>
      </c>
      <c r="X355" s="62" t="str">
        <f>IFERROR(INDEX('GİRİŞ ANALİZİ'!$D:$D, MATCH($W355,'GİRİŞ ANALİZİ'!$B:$B, 0)),"Bulunamadı")</f>
        <v>Bulunamadı</v>
      </c>
    </row>
    <row r="356" spans="4:24" x14ac:dyDescent="0.2">
      <c r="D356" s="97" t="str">
        <f t="shared" si="75"/>
        <v/>
      </c>
      <c r="X356" s="62" t="str">
        <f>IFERROR(INDEX('GİRİŞ ANALİZİ'!$D:$D, MATCH($W356,'GİRİŞ ANALİZİ'!$B:$B, 0)),"Bulunamadı")</f>
        <v>Bulunamadı</v>
      </c>
    </row>
    <row r="357" spans="4:24" x14ac:dyDescent="0.2">
      <c r="D357" s="97" t="str">
        <f t="shared" si="75"/>
        <v/>
      </c>
      <c r="X357" s="62" t="str">
        <f>IFERROR(INDEX('GİRİŞ ANALİZİ'!$D:$D, MATCH($W357,'GİRİŞ ANALİZİ'!$B:$B, 0)),"Bulunamadı")</f>
        <v>Bulunamadı</v>
      </c>
    </row>
    <row r="358" spans="4:24" x14ac:dyDescent="0.2">
      <c r="D358" s="97" t="str">
        <f t="shared" si="75"/>
        <v/>
      </c>
      <c r="X358" s="62" t="str">
        <f>IFERROR(INDEX('GİRİŞ ANALİZİ'!$D:$D, MATCH($W358,'GİRİŞ ANALİZİ'!$B:$B, 0)),"Bulunamadı")</f>
        <v>Bulunamadı</v>
      </c>
    </row>
    <row r="359" spans="4:24" x14ac:dyDescent="0.2">
      <c r="D359" s="97" t="str">
        <f t="shared" si="75"/>
        <v/>
      </c>
      <c r="X359" s="62" t="str">
        <f>IFERROR(INDEX('GİRİŞ ANALİZİ'!$D:$D, MATCH($W359,'GİRİŞ ANALİZİ'!$B:$B, 0)),"Bulunamadı")</f>
        <v>Bulunamadı</v>
      </c>
    </row>
    <row r="360" spans="4:24" x14ac:dyDescent="0.2">
      <c r="D360" s="97" t="str">
        <f t="shared" si="75"/>
        <v/>
      </c>
      <c r="X360" s="62" t="str">
        <f>IFERROR(INDEX('GİRİŞ ANALİZİ'!$D:$D, MATCH($W360,'GİRİŞ ANALİZİ'!$B:$B, 0)),"Bulunamadı")</f>
        <v>Bulunamadı</v>
      </c>
    </row>
    <row r="361" spans="4:24" x14ac:dyDescent="0.2">
      <c r="D361" s="97" t="str">
        <f t="shared" si="75"/>
        <v/>
      </c>
      <c r="X361" s="62" t="str">
        <f>IFERROR(INDEX('GİRİŞ ANALİZİ'!$D:$D, MATCH($W361,'GİRİŞ ANALİZİ'!$B:$B, 0)),"Bulunamadı")</f>
        <v>Bulunamadı</v>
      </c>
    </row>
    <row r="362" spans="4:24" x14ac:dyDescent="0.2">
      <c r="D362" s="97" t="str">
        <f t="shared" si="75"/>
        <v/>
      </c>
      <c r="X362" s="62" t="str">
        <f>IFERROR(INDEX('GİRİŞ ANALİZİ'!$D:$D, MATCH($W362,'GİRİŞ ANALİZİ'!$B:$B, 0)),"Bulunamadı")</f>
        <v>Bulunamadı</v>
      </c>
    </row>
    <row r="363" spans="4:24" x14ac:dyDescent="0.2">
      <c r="D363" s="97" t="str">
        <f t="shared" si="75"/>
        <v/>
      </c>
      <c r="X363" s="62" t="str">
        <f>IFERROR(INDEX('GİRİŞ ANALİZİ'!$D:$D, MATCH($W363,'GİRİŞ ANALİZİ'!$B:$B, 0)),"Bulunamadı")</f>
        <v>Bulunamadı</v>
      </c>
    </row>
    <row r="364" spans="4:24" x14ac:dyDescent="0.2">
      <c r="D364" s="97" t="str">
        <f t="shared" si="75"/>
        <v/>
      </c>
      <c r="X364" s="62" t="str">
        <f>IFERROR(INDEX('GİRİŞ ANALİZİ'!$D:$D, MATCH($W364,'GİRİŞ ANALİZİ'!$B:$B, 0)),"Bulunamadı")</f>
        <v>Bulunamadı</v>
      </c>
    </row>
    <row r="365" spans="4:24" x14ac:dyDescent="0.2">
      <c r="D365" s="97" t="str">
        <f t="shared" si="75"/>
        <v/>
      </c>
      <c r="X365" s="62" t="str">
        <f>IFERROR(INDEX('GİRİŞ ANALİZİ'!$D:$D, MATCH($W365,'GİRİŞ ANALİZİ'!$B:$B, 0)),"Bulunamadı")</f>
        <v>Bulunamadı</v>
      </c>
    </row>
    <row r="366" spans="4:24" x14ac:dyDescent="0.2">
      <c r="D366" s="97" t="str">
        <f t="shared" si="75"/>
        <v/>
      </c>
      <c r="X366" s="62" t="str">
        <f>IFERROR(INDEX('GİRİŞ ANALİZİ'!$D:$D, MATCH($W366,'GİRİŞ ANALİZİ'!$B:$B, 0)),"Bulunamadı")</f>
        <v>Bulunamadı</v>
      </c>
    </row>
    <row r="367" spans="4:24" x14ac:dyDescent="0.2">
      <c r="D367" s="97" t="str">
        <f t="shared" si="75"/>
        <v/>
      </c>
      <c r="X367" s="62" t="str">
        <f>IFERROR(INDEX('GİRİŞ ANALİZİ'!$D:$D, MATCH($W367,'GİRİŞ ANALİZİ'!$B:$B, 0)),"Bulunamadı")</f>
        <v>Bulunamadı</v>
      </c>
    </row>
    <row r="368" spans="4:24" x14ac:dyDescent="0.2">
      <c r="D368" s="97" t="str">
        <f t="shared" si="75"/>
        <v/>
      </c>
      <c r="X368" s="62" t="str">
        <f>IFERROR(INDEX('GİRİŞ ANALİZİ'!$D:$D, MATCH($W368,'GİRİŞ ANALİZİ'!$B:$B, 0)),"Bulunamadı")</f>
        <v>Bulunamadı</v>
      </c>
    </row>
    <row r="369" spans="4:24" x14ac:dyDescent="0.2">
      <c r="D369" s="97" t="str">
        <f t="shared" si="75"/>
        <v/>
      </c>
      <c r="X369" s="62" t="str">
        <f>IFERROR(INDEX('GİRİŞ ANALİZİ'!$D:$D, MATCH($W369,'GİRİŞ ANALİZİ'!$B:$B, 0)),"Bulunamadı")</f>
        <v>Bulunamadı</v>
      </c>
    </row>
    <row r="370" spans="4:24" x14ac:dyDescent="0.2">
      <c r="D370" s="97" t="str">
        <f t="shared" si="75"/>
        <v/>
      </c>
      <c r="X370" s="62" t="str">
        <f>IFERROR(INDEX('GİRİŞ ANALİZİ'!$D:$D, MATCH($W370,'GİRİŞ ANALİZİ'!$B:$B, 0)),"Bulunamadı")</f>
        <v>Bulunamadı</v>
      </c>
    </row>
    <row r="371" spans="4:24" x14ac:dyDescent="0.2">
      <c r="D371" s="97" t="str">
        <f t="shared" si="75"/>
        <v/>
      </c>
      <c r="X371" s="62" t="str">
        <f>IFERROR(INDEX('GİRİŞ ANALİZİ'!$D:$D, MATCH($W371,'GİRİŞ ANALİZİ'!$B:$B, 0)),"Bulunamadı")</f>
        <v>Bulunamadı</v>
      </c>
    </row>
    <row r="372" spans="4:24" x14ac:dyDescent="0.2">
      <c r="D372" s="97" t="str">
        <f t="shared" si="75"/>
        <v/>
      </c>
      <c r="X372" s="62" t="str">
        <f>IFERROR(INDEX('GİRİŞ ANALİZİ'!$D:$D, MATCH($W372,'GİRİŞ ANALİZİ'!$B:$B, 0)),"Bulunamadı")</f>
        <v>Bulunamadı</v>
      </c>
    </row>
    <row r="373" spans="4:24" x14ac:dyDescent="0.2">
      <c r="D373" s="97" t="str">
        <f t="shared" si="75"/>
        <v/>
      </c>
      <c r="X373" s="62" t="str">
        <f>IFERROR(INDEX('GİRİŞ ANALİZİ'!$D:$D, MATCH($W373,'GİRİŞ ANALİZİ'!$B:$B, 0)),"Bulunamadı")</f>
        <v>Bulunamadı</v>
      </c>
    </row>
    <row r="374" spans="4:24" x14ac:dyDescent="0.2">
      <c r="D374" s="97" t="str">
        <f t="shared" si="75"/>
        <v/>
      </c>
      <c r="X374" s="62" t="str">
        <f>IFERROR(INDEX('GİRİŞ ANALİZİ'!$D:$D, MATCH($W374,'GİRİŞ ANALİZİ'!$B:$B, 0)),"Bulunamadı")</f>
        <v>Bulunamadı</v>
      </c>
    </row>
    <row r="375" spans="4:24" x14ac:dyDescent="0.2">
      <c r="D375" s="97" t="str">
        <f t="shared" si="75"/>
        <v/>
      </c>
      <c r="X375" s="62" t="str">
        <f>IFERROR(INDEX('GİRİŞ ANALİZİ'!$D:$D, MATCH($W375,'GİRİŞ ANALİZİ'!$B:$B, 0)),"Bulunamadı")</f>
        <v>Bulunamadı</v>
      </c>
    </row>
    <row r="376" spans="4:24" x14ac:dyDescent="0.2">
      <c r="D376" s="97" t="str">
        <f t="shared" si="75"/>
        <v/>
      </c>
      <c r="X376" s="62" t="str">
        <f>IFERROR(INDEX('GİRİŞ ANALİZİ'!$D:$D, MATCH($W376,'GİRİŞ ANALİZİ'!$B:$B, 0)),"Bulunamadı")</f>
        <v>Bulunamadı</v>
      </c>
    </row>
    <row r="377" spans="4:24" x14ac:dyDescent="0.2">
      <c r="D377" s="97" t="str">
        <f t="shared" si="75"/>
        <v/>
      </c>
      <c r="X377" s="62" t="str">
        <f>IFERROR(INDEX('GİRİŞ ANALİZİ'!$D:$D, MATCH($W377,'GİRİŞ ANALİZİ'!$B:$B, 0)),"Bulunamadı")</f>
        <v>Bulunamadı</v>
      </c>
    </row>
    <row r="378" spans="4:24" x14ac:dyDescent="0.2">
      <c r="D378" s="97" t="str">
        <f t="shared" si="75"/>
        <v/>
      </c>
      <c r="X378" s="62" t="str">
        <f>IFERROR(INDEX('GİRİŞ ANALİZİ'!$D:$D, MATCH($W378,'GİRİŞ ANALİZİ'!$B:$B, 0)),"Bulunamadı")</f>
        <v>Bulunamadı</v>
      </c>
    </row>
    <row r="379" spans="4:24" x14ac:dyDescent="0.2">
      <c r="D379" s="97" t="str">
        <f t="shared" si="75"/>
        <v/>
      </c>
      <c r="X379" s="62" t="str">
        <f>IFERROR(INDEX('GİRİŞ ANALİZİ'!$D:$D, MATCH($W379,'GİRİŞ ANALİZİ'!$B:$B, 0)),"Bulunamadı")</f>
        <v>Bulunamadı</v>
      </c>
    </row>
    <row r="380" spans="4:24" x14ac:dyDescent="0.2">
      <c r="D380" s="97" t="str">
        <f t="shared" si="75"/>
        <v/>
      </c>
      <c r="X380" s="62" t="str">
        <f>IFERROR(INDEX('GİRİŞ ANALİZİ'!$D:$D, MATCH($W380,'GİRİŞ ANALİZİ'!$B:$B, 0)),"Bulunamadı")</f>
        <v>Bulunamadı</v>
      </c>
    </row>
    <row r="381" spans="4:24" x14ac:dyDescent="0.2">
      <c r="D381" s="97" t="str">
        <f t="shared" si="75"/>
        <v/>
      </c>
      <c r="X381" s="62" t="str">
        <f>IFERROR(INDEX('GİRİŞ ANALİZİ'!$D:$D, MATCH($W381,'GİRİŞ ANALİZİ'!$B:$B, 0)),"Bulunamadı")</f>
        <v>Bulunamadı</v>
      </c>
    </row>
    <row r="382" spans="4:24" x14ac:dyDescent="0.2">
      <c r="D382" s="97" t="str">
        <f t="shared" si="75"/>
        <v/>
      </c>
      <c r="X382" s="62" t="str">
        <f>IFERROR(INDEX('GİRİŞ ANALİZİ'!$D:$D, MATCH($W382,'GİRİŞ ANALİZİ'!$B:$B, 0)),"Bulunamadı")</f>
        <v>Bulunamadı</v>
      </c>
    </row>
    <row r="383" spans="4:24" x14ac:dyDescent="0.2">
      <c r="D383" s="97" t="str">
        <f t="shared" si="75"/>
        <v/>
      </c>
      <c r="X383" s="62" t="str">
        <f>IFERROR(INDEX('GİRİŞ ANALİZİ'!$D:$D, MATCH($W383,'GİRİŞ ANALİZİ'!$B:$B, 0)),"Bulunamadı")</f>
        <v>Bulunamadı</v>
      </c>
    </row>
    <row r="384" spans="4:24" x14ac:dyDescent="0.2">
      <c r="D384" s="97" t="str">
        <f t="shared" si="75"/>
        <v/>
      </c>
      <c r="X384" s="62" t="str">
        <f>IFERROR(INDEX('GİRİŞ ANALİZİ'!$D:$D, MATCH($W384,'GİRİŞ ANALİZİ'!$B:$B, 0)),"Bulunamadı")</f>
        <v>Bulunamadı</v>
      </c>
    </row>
    <row r="385" spans="4:24" x14ac:dyDescent="0.2">
      <c r="D385" s="97" t="str">
        <f t="shared" si="75"/>
        <v/>
      </c>
      <c r="X385" s="62" t="str">
        <f>IFERROR(INDEX('GİRİŞ ANALİZİ'!$D:$D, MATCH($W385,'GİRİŞ ANALİZİ'!$B:$B, 0)),"Bulunamadı")</f>
        <v>Bulunamadı</v>
      </c>
    </row>
    <row r="386" spans="4:24" x14ac:dyDescent="0.2">
      <c r="D386" s="97" t="str">
        <f t="shared" si="75"/>
        <v/>
      </c>
      <c r="X386" s="62" t="str">
        <f>IFERROR(INDEX('GİRİŞ ANALİZİ'!$D:$D, MATCH($W386,'GİRİŞ ANALİZİ'!$B:$B, 0)),"Bulunamadı")</f>
        <v>Bulunamadı</v>
      </c>
    </row>
    <row r="387" spans="4:24" x14ac:dyDescent="0.2">
      <c r="D387" s="97" t="str">
        <f t="shared" ref="D387:D450" si="76">IF(C387="H5130003","HW.CASHEW NUT W320____________( 22.68 KG )",IF(C387="H5130001","HW.CASHEW NUT W240____________( 22.68 KG )",IF(C387="H5130164","HW.CASHEW NUT W180____________( 22.68 KG )","")))</f>
        <v/>
      </c>
      <c r="X387" s="62" t="str">
        <f>IFERROR(INDEX('GİRİŞ ANALİZİ'!$D:$D, MATCH($W387,'GİRİŞ ANALİZİ'!$B:$B, 0)),"Bulunamadı")</f>
        <v>Bulunamadı</v>
      </c>
    </row>
    <row r="388" spans="4:24" x14ac:dyDescent="0.2">
      <c r="D388" s="97" t="str">
        <f t="shared" si="76"/>
        <v/>
      </c>
      <c r="X388" s="62" t="str">
        <f>IFERROR(INDEX('GİRİŞ ANALİZİ'!$D:$D, MATCH($W388,'GİRİŞ ANALİZİ'!$B:$B, 0)),"Bulunamadı")</f>
        <v>Bulunamadı</v>
      </c>
    </row>
    <row r="389" spans="4:24" x14ac:dyDescent="0.2">
      <c r="D389" s="97" t="str">
        <f t="shared" si="76"/>
        <v/>
      </c>
      <c r="X389" s="62" t="str">
        <f>IFERROR(INDEX('GİRİŞ ANALİZİ'!$D:$D, MATCH($W389,'GİRİŞ ANALİZİ'!$B:$B, 0)),"Bulunamadı")</f>
        <v>Bulunamadı</v>
      </c>
    </row>
    <row r="390" spans="4:24" x14ac:dyDescent="0.2">
      <c r="D390" s="97" t="str">
        <f t="shared" si="76"/>
        <v/>
      </c>
      <c r="X390" s="62" t="str">
        <f>IFERROR(INDEX('GİRİŞ ANALİZİ'!$D:$D, MATCH($W390,'GİRİŞ ANALİZİ'!$B:$B, 0)),"Bulunamadı")</f>
        <v>Bulunamadı</v>
      </c>
    </row>
    <row r="391" spans="4:24" x14ac:dyDescent="0.2">
      <c r="D391" s="97" t="str">
        <f t="shared" si="76"/>
        <v/>
      </c>
      <c r="X391" s="62" t="str">
        <f>IFERROR(INDEX('GİRİŞ ANALİZİ'!$D:$D, MATCH($W391,'GİRİŞ ANALİZİ'!$B:$B, 0)),"Bulunamadı")</f>
        <v>Bulunamadı</v>
      </c>
    </row>
    <row r="392" spans="4:24" x14ac:dyDescent="0.2">
      <c r="D392" s="97" t="str">
        <f t="shared" si="76"/>
        <v/>
      </c>
      <c r="X392" s="62" t="str">
        <f>IFERROR(INDEX('GİRİŞ ANALİZİ'!$D:$D, MATCH($W392,'GİRİŞ ANALİZİ'!$B:$B, 0)),"Bulunamadı")</f>
        <v>Bulunamadı</v>
      </c>
    </row>
    <row r="393" spans="4:24" x14ac:dyDescent="0.2">
      <c r="D393" s="97" t="str">
        <f t="shared" si="76"/>
        <v/>
      </c>
      <c r="X393" s="62" t="str">
        <f>IFERROR(INDEX('GİRİŞ ANALİZİ'!$D:$D, MATCH($W393,'GİRİŞ ANALİZİ'!$B:$B, 0)),"Bulunamadı")</f>
        <v>Bulunamadı</v>
      </c>
    </row>
    <row r="394" spans="4:24" x14ac:dyDescent="0.2">
      <c r="D394" s="97" t="str">
        <f t="shared" si="76"/>
        <v/>
      </c>
      <c r="X394" s="62" t="str">
        <f>IFERROR(INDEX('GİRİŞ ANALİZİ'!$D:$D, MATCH($W394,'GİRİŞ ANALİZİ'!$B:$B, 0)),"Bulunamadı")</f>
        <v>Bulunamadı</v>
      </c>
    </row>
    <row r="395" spans="4:24" x14ac:dyDescent="0.2">
      <c r="D395" s="97" t="str">
        <f t="shared" si="76"/>
        <v/>
      </c>
      <c r="X395" s="62" t="str">
        <f>IFERROR(INDEX('GİRİŞ ANALİZİ'!$D:$D, MATCH($W395,'GİRİŞ ANALİZİ'!$B:$B, 0)),"Bulunamadı")</f>
        <v>Bulunamadı</v>
      </c>
    </row>
    <row r="396" spans="4:24" x14ac:dyDescent="0.2">
      <c r="D396" s="97" t="str">
        <f t="shared" si="76"/>
        <v/>
      </c>
      <c r="X396" s="62" t="str">
        <f>IFERROR(INDEX('GİRİŞ ANALİZİ'!$D:$D, MATCH($W396,'GİRİŞ ANALİZİ'!$B:$B, 0)),"Bulunamadı")</f>
        <v>Bulunamadı</v>
      </c>
    </row>
    <row r="397" spans="4:24" x14ac:dyDescent="0.2">
      <c r="D397" s="97" t="str">
        <f t="shared" si="76"/>
        <v/>
      </c>
      <c r="X397" s="62" t="str">
        <f>IFERROR(INDEX('GİRİŞ ANALİZİ'!$D:$D, MATCH($W397,'GİRİŞ ANALİZİ'!$B:$B, 0)),"Bulunamadı")</f>
        <v>Bulunamadı</v>
      </c>
    </row>
    <row r="398" spans="4:24" x14ac:dyDescent="0.2">
      <c r="D398" s="97" t="str">
        <f t="shared" si="76"/>
        <v/>
      </c>
      <c r="X398" s="62" t="str">
        <f>IFERROR(INDEX('GİRİŞ ANALİZİ'!$D:$D, MATCH($W398,'GİRİŞ ANALİZİ'!$B:$B, 0)),"Bulunamadı")</f>
        <v>Bulunamadı</v>
      </c>
    </row>
    <row r="399" spans="4:24" x14ac:dyDescent="0.2">
      <c r="D399" s="97" t="str">
        <f t="shared" si="76"/>
        <v/>
      </c>
      <c r="X399" s="62" t="str">
        <f>IFERROR(INDEX('GİRİŞ ANALİZİ'!$D:$D, MATCH($W399,'GİRİŞ ANALİZİ'!$B:$B, 0)),"Bulunamadı")</f>
        <v>Bulunamadı</v>
      </c>
    </row>
    <row r="400" spans="4:24" x14ac:dyDescent="0.2">
      <c r="D400" s="97" t="str">
        <f t="shared" si="76"/>
        <v/>
      </c>
      <c r="X400" s="62" t="str">
        <f>IFERROR(INDEX('GİRİŞ ANALİZİ'!$D:$D, MATCH($W400,'GİRİŞ ANALİZİ'!$B:$B, 0)),"Bulunamadı")</f>
        <v>Bulunamadı</v>
      </c>
    </row>
    <row r="401" spans="4:24" x14ac:dyDescent="0.2">
      <c r="D401" s="97" t="str">
        <f t="shared" si="76"/>
        <v/>
      </c>
      <c r="X401" s="62" t="str">
        <f>IFERROR(INDEX('GİRİŞ ANALİZİ'!$D:$D, MATCH($W401,'GİRİŞ ANALİZİ'!$B:$B, 0)),"Bulunamadı")</f>
        <v>Bulunamadı</v>
      </c>
    </row>
    <row r="402" spans="4:24" x14ac:dyDescent="0.2">
      <c r="D402" s="97" t="str">
        <f t="shared" si="76"/>
        <v/>
      </c>
      <c r="X402" s="62" t="str">
        <f>IFERROR(INDEX('GİRİŞ ANALİZİ'!$D:$D, MATCH($W402,'GİRİŞ ANALİZİ'!$B:$B, 0)),"Bulunamadı")</f>
        <v>Bulunamadı</v>
      </c>
    </row>
    <row r="403" spans="4:24" x14ac:dyDescent="0.2">
      <c r="D403" s="97" t="str">
        <f t="shared" si="76"/>
        <v/>
      </c>
      <c r="X403" s="62" t="str">
        <f>IFERROR(INDEX('GİRİŞ ANALİZİ'!$D:$D, MATCH($W403,'GİRİŞ ANALİZİ'!$B:$B, 0)),"Bulunamadı")</f>
        <v>Bulunamadı</v>
      </c>
    </row>
    <row r="404" spans="4:24" x14ac:dyDescent="0.2">
      <c r="D404" s="97" t="str">
        <f t="shared" si="76"/>
        <v/>
      </c>
      <c r="X404" s="62" t="str">
        <f>IFERROR(INDEX('GİRİŞ ANALİZİ'!$D:$D, MATCH($W404,'GİRİŞ ANALİZİ'!$B:$B, 0)),"Bulunamadı")</f>
        <v>Bulunamadı</v>
      </c>
    </row>
    <row r="405" spans="4:24" x14ac:dyDescent="0.2">
      <c r="D405" s="97" t="str">
        <f t="shared" si="76"/>
        <v/>
      </c>
      <c r="X405" s="62" t="str">
        <f>IFERROR(INDEX('GİRİŞ ANALİZİ'!$D:$D, MATCH($W405,'GİRİŞ ANALİZİ'!$B:$B, 0)),"Bulunamadı")</f>
        <v>Bulunamadı</v>
      </c>
    </row>
    <row r="406" spans="4:24" x14ac:dyDescent="0.2">
      <c r="D406" s="97" t="str">
        <f t="shared" si="76"/>
        <v/>
      </c>
      <c r="X406" s="62" t="str">
        <f>IFERROR(INDEX('GİRİŞ ANALİZİ'!$D:$D, MATCH($W406,'GİRİŞ ANALİZİ'!$B:$B, 0)),"Bulunamadı")</f>
        <v>Bulunamadı</v>
      </c>
    </row>
    <row r="407" spans="4:24" x14ac:dyDescent="0.2">
      <c r="D407" s="97" t="str">
        <f t="shared" si="76"/>
        <v/>
      </c>
      <c r="X407" s="62" t="str">
        <f>IFERROR(INDEX('GİRİŞ ANALİZİ'!$D:$D, MATCH($W407,'GİRİŞ ANALİZİ'!$B:$B, 0)),"Bulunamadı")</f>
        <v>Bulunamadı</v>
      </c>
    </row>
    <row r="408" spans="4:24" x14ac:dyDescent="0.2">
      <c r="D408" s="97" t="str">
        <f t="shared" si="76"/>
        <v/>
      </c>
      <c r="X408" s="62" t="str">
        <f>IFERROR(INDEX('GİRİŞ ANALİZİ'!$D:$D, MATCH($W408,'GİRİŞ ANALİZİ'!$B:$B, 0)),"Bulunamadı")</f>
        <v>Bulunamadı</v>
      </c>
    </row>
    <row r="409" spans="4:24" x14ac:dyDescent="0.2">
      <c r="D409" s="97" t="str">
        <f t="shared" si="76"/>
        <v/>
      </c>
      <c r="X409" s="62" t="str">
        <f>IFERROR(INDEX('GİRİŞ ANALİZİ'!$D:$D, MATCH($W409,'GİRİŞ ANALİZİ'!$B:$B, 0)),"Bulunamadı")</f>
        <v>Bulunamadı</v>
      </c>
    </row>
    <row r="410" spans="4:24" x14ac:dyDescent="0.2">
      <c r="D410" s="97" t="str">
        <f t="shared" si="76"/>
        <v/>
      </c>
      <c r="X410" s="62" t="str">
        <f>IFERROR(INDEX('GİRİŞ ANALİZİ'!$D:$D, MATCH($W410,'GİRİŞ ANALİZİ'!$B:$B, 0)),"Bulunamadı")</f>
        <v>Bulunamadı</v>
      </c>
    </row>
    <row r="411" spans="4:24" x14ac:dyDescent="0.2">
      <c r="D411" s="97" t="str">
        <f t="shared" si="76"/>
        <v/>
      </c>
      <c r="X411" s="62" t="str">
        <f>IFERROR(INDEX('GİRİŞ ANALİZİ'!$D:$D, MATCH($W411,'GİRİŞ ANALİZİ'!$B:$B, 0)),"Bulunamadı")</f>
        <v>Bulunamadı</v>
      </c>
    </row>
    <row r="412" spans="4:24" x14ac:dyDescent="0.2">
      <c r="D412" s="97" t="str">
        <f t="shared" si="76"/>
        <v/>
      </c>
      <c r="X412" s="62" t="str">
        <f>IFERROR(INDEX('GİRİŞ ANALİZİ'!$D:$D, MATCH($W412,'GİRİŞ ANALİZİ'!$B:$B, 0)),"Bulunamadı")</f>
        <v>Bulunamadı</v>
      </c>
    </row>
    <row r="413" spans="4:24" x14ac:dyDescent="0.2">
      <c r="D413" s="97" t="str">
        <f t="shared" si="76"/>
        <v/>
      </c>
      <c r="X413" s="62" t="str">
        <f>IFERROR(INDEX('GİRİŞ ANALİZİ'!$D:$D, MATCH($W413,'GİRİŞ ANALİZİ'!$B:$B, 0)),"Bulunamadı")</f>
        <v>Bulunamadı</v>
      </c>
    </row>
    <row r="414" spans="4:24" x14ac:dyDescent="0.2">
      <c r="D414" s="97" t="str">
        <f t="shared" si="76"/>
        <v/>
      </c>
      <c r="X414" s="62" t="str">
        <f>IFERROR(INDEX('GİRİŞ ANALİZİ'!$D:$D, MATCH($W414,'GİRİŞ ANALİZİ'!$B:$B, 0)),"Bulunamadı")</f>
        <v>Bulunamadı</v>
      </c>
    </row>
    <row r="415" spans="4:24" x14ac:dyDescent="0.2">
      <c r="D415" s="97" t="str">
        <f t="shared" si="76"/>
        <v/>
      </c>
      <c r="X415" s="62" t="str">
        <f>IFERROR(INDEX('GİRİŞ ANALİZİ'!$D:$D, MATCH($W415,'GİRİŞ ANALİZİ'!$B:$B, 0)),"Bulunamadı")</f>
        <v>Bulunamadı</v>
      </c>
    </row>
    <row r="416" spans="4:24" x14ac:dyDescent="0.2">
      <c r="D416" s="97" t="str">
        <f t="shared" si="76"/>
        <v/>
      </c>
      <c r="X416" s="62" t="str">
        <f>IFERROR(INDEX('GİRİŞ ANALİZİ'!$D:$D, MATCH($W416,'GİRİŞ ANALİZİ'!$B:$B, 0)),"Bulunamadı")</f>
        <v>Bulunamadı</v>
      </c>
    </row>
    <row r="417" spans="4:24" x14ac:dyDescent="0.2">
      <c r="D417" s="97" t="str">
        <f t="shared" si="76"/>
        <v/>
      </c>
      <c r="X417" s="62" t="str">
        <f>IFERROR(INDEX('GİRİŞ ANALİZİ'!$D:$D, MATCH($W417,'GİRİŞ ANALİZİ'!$B:$B, 0)),"Bulunamadı")</f>
        <v>Bulunamadı</v>
      </c>
    </row>
    <row r="418" spans="4:24" x14ac:dyDescent="0.2">
      <c r="D418" s="97" t="str">
        <f t="shared" si="76"/>
        <v/>
      </c>
      <c r="X418" s="62" t="str">
        <f>IFERROR(INDEX('GİRİŞ ANALİZİ'!$D:$D, MATCH($W418,'GİRİŞ ANALİZİ'!$B:$B, 0)),"Bulunamadı")</f>
        <v>Bulunamadı</v>
      </c>
    </row>
    <row r="419" spans="4:24" x14ac:dyDescent="0.2">
      <c r="D419" s="97" t="str">
        <f t="shared" si="76"/>
        <v/>
      </c>
      <c r="X419" s="62" t="str">
        <f>IFERROR(INDEX('GİRİŞ ANALİZİ'!$D:$D, MATCH($W419,'GİRİŞ ANALİZİ'!$B:$B, 0)),"Bulunamadı")</f>
        <v>Bulunamadı</v>
      </c>
    </row>
    <row r="420" spans="4:24" x14ac:dyDescent="0.2">
      <c r="D420" s="97" t="str">
        <f t="shared" si="76"/>
        <v/>
      </c>
      <c r="X420" s="62" t="str">
        <f>IFERROR(INDEX('GİRİŞ ANALİZİ'!$D:$D, MATCH($W420,'GİRİŞ ANALİZİ'!$B:$B, 0)),"Bulunamadı")</f>
        <v>Bulunamadı</v>
      </c>
    </row>
    <row r="421" spans="4:24" x14ac:dyDescent="0.2">
      <c r="D421" s="97" t="str">
        <f t="shared" si="76"/>
        <v/>
      </c>
      <c r="X421" s="62" t="str">
        <f>IFERROR(INDEX('GİRİŞ ANALİZİ'!$D:$D, MATCH($W421,'GİRİŞ ANALİZİ'!$B:$B, 0)),"Bulunamadı")</f>
        <v>Bulunamadı</v>
      </c>
    </row>
    <row r="422" spans="4:24" x14ac:dyDescent="0.2">
      <c r="D422" s="97" t="str">
        <f t="shared" si="76"/>
        <v/>
      </c>
      <c r="X422" s="62" t="str">
        <f>IFERROR(INDEX('GİRİŞ ANALİZİ'!$D:$D, MATCH($W422,'GİRİŞ ANALİZİ'!$B:$B, 0)),"Bulunamadı")</f>
        <v>Bulunamadı</v>
      </c>
    </row>
    <row r="423" spans="4:24" x14ac:dyDescent="0.2">
      <c r="D423" s="97" t="str">
        <f t="shared" si="76"/>
        <v/>
      </c>
      <c r="X423" s="62" t="str">
        <f>IFERROR(INDEX('GİRİŞ ANALİZİ'!$D:$D, MATCH($W423,'GİRİŞ ANALİZİ'!$B:$B, 0)),"Bulunamadı")</f>
        <v>Bulunamadı</v>
      </c>
    </row>
    <row r="424" spans="4:24" x14ac:dyDescent="0.2">
      <c r="D424" s="97" t="str">
        <f t="shared" si="76"/>
        <v/>
      </c>
      <c r="X424" s="62" t="str">
        <f>IFERROR(INDEX('GİRİŞ ANALİZİ'!$D:$D, MATCH($W424,'GİRİŞ ANALİZİ'!$B:$B, 0)),"Bulunamadı")</f>
        <v>Bulunamadı</v>
      </c>
    </row>
    <row r="425" spans="4:24" x14ac:dyDescent="0.2">
      <c r="D425" s="97" t="str">
        <f t="shared" si="76"/>
        <v/>
      </c>
      <c r="X425" s="62" t="str">
        <f>IFERROR(INDEX('GİRİŞ ANALİZİ'!$D:$D, MATCH($W425,'GİRİŞ ANALİZİ'!$B:$B, 0)),"Bulunamadı")</f>
        <v>Bulunamadı</v>
      </c>
    </row>
    <row r="426" spans="4:24" x14ac:dyDescent="0.2">
      <c r="D426" s="97" t="str">
        <f t="shared" si="76"/>
        <v/>
      </c>
      <c r="X426" s="62" t="str">
        <f>IFERROR(INDEX('GİRİŞ ANALİZİ'!$D:$D, MATCH($W426,'GİRİŞ ANALİZİ'!$B:$B, 0)),"Bulunamadı")</f>
        <v>Bulunamadı</v>
      </c>
    </row>
    <row r="427" spans="4:24" x14ac:dyDescent="0.2">
      <c r="D427" s="97" t="str">
        <f t="shared" si="76"/>
        <v/>
      </c>
      <c r="X427" s="62" t="str">
        <f>IFERROR(INDEX('GİRİŞ ANALİZİ'!$D:$D, MATCH($W427,'GİRİŞ ANALİZİ'!$B:$B, 0)),"Bulunamadı")</f>
        <v>Bulunamadı</v>
      </c>
    </row>
    <row r="428" spans="4:24" x14ac:dyDescent="0.2">
      <c r="D428" s="97" t="str">
        <f t="shared" si="76"/>
        <v/>
      </c>
      <c r="X428" s="62" t="str">
        <f>IFERROR(INDEX('GİRİŞ ANALİZİ'!$D:$D, MATCH($W428,'GİRİŞ ANALİZİ'!$B:$B, 0)),"Bulunamadı")</f>
        <v>Bulunamadı</v>
      </c>
    </row>
    <row r="429" spans="4:24" x14ac:dyDescent="0.2">
      <c r="D429" s="97" t="str">
        <f t="shared" si="76"/>
        <v/>
      </c>
      <c r="X429" s="62" t="str">
        <f>IFERROR(INDEX('GİRİŞ ANALİZİ'!$D:$D, MATCH($W429,'GİRİŞ ANALİZİ'!$B:$B, 0)),"Bulunamadı")</f>
        <v>Bulunamadı</v>
      </c>
    </row>
    <row r="430" spans="4:24" x14ac:dyDescent="0.2">
      <c r="D430" s="97" t="str">
        <f t="shared" si="76"/>
        <v/>
      </c>
      <c r="X430" s="62" t="str">
        <f>IFERROR(INDEX('GİRİŞ ANALİZİ'!$D:$D, MATCH($W430,'GİRİŞ ANALİZİ'!$B:$B, 0)),"Bulunamadı")</f>
        <v>Bulunamadı</v>
      </c>
    </row>
    <row r="431" spans="4:24" x14ac:dyDescent="0.2">
      <c r="D431" s="97" t="str">
        <f t="shared" si="76"/>
        <v/>
      </c>
      <c r="X431" s="62" t="str">
        <f>IFERROR(INDEX('GİRİŞ ANALİZİ'!$D:$D, MATCH($W431,'GİRİŞ ANALİZİ'!$B:$B, 0)),"Bulunamadı")</f>
        <v>Bulunamadı</v>
      </c>
    </row>
    <row r="432" spans="4:24" x14ac:dyDescent="0.2">
      <c r="D432" s="97" t="str">
        <f t="shared" si="76"/>
        <v/>
      </c>
      <c r="X432" s="62" t="str">
        <f>IFERROR(INDEX('GİRİŞ ANALİZİ'!$D:$D, MATCH($W432,'GİRİŞ ANALİZİ'!$B:$B, 0)),"Bulunamadı")</f>
        <v>Bulunamadı</v>
      </c>
    </row>
    <row r="433" spans="4:24" x14ac:dyDescent="0.2">
      <c r="D433" s="97" t="str">
        <f t="shared" si="76"/>
        <v/>
      </c>
      <c r="X433" s="62" t="str">
        <f>IFERROR(INDEX('GİRİŞ ANALİZİ'!$D:$D, MATCH($W433,'GİRİŞ ANALİZİ'!$B:$B, 0)),"Bulunamadı")</f>
        <v>Bulunamadı</v>
      </c>
    </row>
    <row r="434" spans="4:24" x14ac:dyDescent="0.2">
      <c r="D434" s="97" t="str">
        <f t="shared" si="76"/>
        <v/>
      </c>
      <c r="X434" s="62" t="str">
        <f>IFERROR(INDEX('GİRİŞ ANALİZİ'!$D:$D, MATCH($W434,'GİRİŞ ANALİZİ'!$B:$B, 0)),"Bulunamadı")</f>
        <v>Bulunamadı</v>
      </c>
    </row>
    <row r="435" spans="4:24" x14ac:dyDescent="0.2">
      <c r="D435" s="97" t="str">
        <f t="shared" si="76"/>
        <v/>
      </c>
      <c r="X435" s="62" t="str">
        <f>IFERROR(INDEX('GİRİŞ ANALİZİ'!$D:$D, MATCH($W435,'GİRİŞ ANALİZİ'!$B:$B, 0)),"Bulunamadı")</f>
        <v>Bulunamadı</v>
      </c>
    </row>
    <row r="436" spans="4:24" x14ac:dyDescent="0.2">
      <c r="D436" s="97" t="str">
        <f t="shared" si="76"/>
        <v/>
      </c>
      <c r="X436" s="62" t="str">
        <f>IFERROR(INDEX('GİRİŞ ANALİZİ'!$D:$D, MATCH($W436,'GİRİŞ ANALİZİ'!$B:$B, 0)),"Bulunamadı")</f>
        <v>Bulunamadı</v>
      </c>
    </row>
    <row r="437" spans="4:24" x14ac:dyDescent="0.2">
      <c r="D437" s="97" t="str">
        <f t="shared" si="76"/>
        <v/>
      </c>
      <c r="X437" s="62" t="str">
        <f>IFERROR(INDEX('GİRİŞ ANALİZİ'!$D:$D, MATCH($W437,'GİRİŞ ANALİZİ'!$B:$B, 0)),"Bulunamadı")</f>
        <v>Bulunamadı</v>
      </c>
    </row>
    <row r="438" spans="4:24" x14ac:dyDescent="0.2">
      <c r="D438" s="97" t="str">
        <f t="shared" si="76"/>
        <v/>
      </c>
      <c r="X438" s="62" t="str">
        <f>IFERROR(INDEX('GİRİŞ ANALİZİ'!$D:$D, MATCH($W438,'GİRİŞ ANALİZİ'!$B:$B, 0)),"Bulunamadı")</f>
        <v>Bulunamadı</v>
      </c>
    </row>
    <row r="439" spans="4:24" x14ac:dyDescent="0.2">
      <c r="D439" s="97" t="str">
        <f t="shared" si="76"/>
        <v/>
      </c>
      <c r="X439" s="62" t="str">
        <f>IFERROR(INDEX('GİRİŞ ANALİZİ'!$D:$D, MATCH($W439,'GİRİŞ ANALİZİ'!$B:$B, 0)),"Bulunamadı")</f>
        <v>Bulunamadı</v>
      </c>
    </row>
    <row r="440" spans="4:24" x14ac:dyDescent="0.2">
      <c r="D440" s="97" t="str">
        <f t="shared" si="76"/>
        <v/>
      </c>
      <c r="X440" s="62" t="str">
        <f>IFERROR(INDEX('GİRİŞ ANALİZİ'!$D:$D, MATCH($W440,'GİRİŞ ANALİZİ'!$B:$B, 0)),"Bulunamadı")</f>
        <v>Bulunamadı</v>
      </c>
    </row>
    <row r="441" spans="4:24" x14ac:dyDescent="0.2">
      <c r="D441" s="97" t="str">
        <f t="shared" si="76"/>
        <v/>
      </c>
      <c r="X441" s="62" t="str">
        <f>IFERROR(INDEX('GİRİŞ ANALİZİ'!$D:$D, MATCH($W441,'GİRİŞ ANALİZİ'!$B:$B, 0)),"Bulunamadı")</f>
        <v>Bulunamadı</v>
      </c>
    </row>
    <row r="442" spans="4:24" x14ac:dyDescent="0.2">
      <c r="D442" s="97" t="str">
        <f t="shared" si="76"/>
        <v/>
      </c>
      <c r="X442" s="62" t="str">
        <f>IFERROR(INDEX('GİRİŞ ANALİZİ'!$D:$D, MATCH($W442,'GİRİŞ ANALİZİ'!$B:$B, 0)),"Bulunamadı")</f>
        <v>Bulunamadı</v>
      </c>
    </row>
    <row r="443" spans="4:24" x14ac:dyDescent="0.2">
      <c r="D443" s="97" t="str">
        <f t="shared" si="76"/>
        <v/>
      </c>
      <c r="X443" s="62" t="str">
        <f>IFERROR(INDEX('GİRİŞ ANALİZİ'!$D:$D, MATCH($W443,'GİRİŞ ANALİZİ'!$B:$B, 0)),"Bulunamadı")</f>
        <v>Bulunamadı</v>
      </c>
    </row>
    <row r="444" spans="4:24" x14ac:dyDescent="0.2">
      <c r="D444" s="97" t="str">
        <f t="shared" si="76"/>
        <v/>
      </c>
      <c r="X444" s="62" t="str">
        <f>IFERROR(INDEX('GİRİŞ ANALİZİ'!$D:$D, MATCH($W444,'GİRİŞ ANALİZİ'!$B:$B, 0)),"Bulunamadı")</f>
        <v>Bulunamadı</v>
      </c>
    </row>
    <row r="445" spans="4:24" x14ac:dyDescent="0.2">
      <c r="D445" s="97" t="str">
        <f t="shared" si="76"/>
        <v/>
      </c>
      <c r="X445" s="62" t="str">
        <f>IFERROR(INDEX('GİRİŞ ANALİZİ'!$D:$D, MATCH($W445,'GİRİŞ ANALİZİ'!$B:$B, 0)),"Bulunamadı")</f>
        <v>Bulunamadı</v>
      </c>
    </row>
    <row r="446" spans="4:24" x14ac:dyDescent="0.2">
      <c r="D446" s="97" t="str">
        <f t="shared" si="76"/>
        <v/>
      </c>
      <c r="X446" s="62" t="str">
        <f>IFERROR(INDEX('GİRİŞ ANALİZİ'!$D:$D, MATCH($W446,'GİRİŞ ANALİZİ'!$B:$B, 0)),"Bulunamadı")</f>
        <v>Bulunamadı</v>
      </c>
    </row>
    <row r="447" spans="4:24" x14ac:dyDescent="0.2">
      <c r="D447" s="97" t="str">
        <f t="shared" si="76"/>
        <v/>
      </c>
      <c r="X447" s="62" t="str">
        <f>IFERROR(INDEX('GİRİŞ ANALİZİ'!$D:$D, MATCH($W447,'GİRİŞ ANALİZİ'!$B:$B, 0)),"Bulunamadı")</f>
        <v>Bulunamadı</v>
      </c>
    </row>
    <row r="448" spans="4:24" x14ac:dyDescent="0.2">
      <c r="D448" s="97" t="str">
        <f t="shared" si="76"/>
        <v/>
      </c>
      <c r="X448" s="62" t="str">
        <f>IFERROR(INDEX('GİRİŞ ANALİZİ'!$D:$D, MATCH($W448,'GİRİŞ ANALİZİ'!$B:$B, 0)),"Bulunamadı")</f>
        <v>Bulunamadı</v>
      </c>
    </row>
    <row r="449" spans="4:24" x14ac:dyDescent="0.2">
      <c r="D449" s="97" t="str">
        <f t="shared" si="76"/>
        <v/>
      </c>
      <c r="X449" s="62" t="str">
        <f>IFERROR(INDEX('GİRİŞ ANALİZİ'!$D:$D, MATCH($W449,'GİRİŞ ANALİZİ'!$B:$B, 0)),"Bulunamadı")</f>
        <v>Bulunamadı</v>
      </c>
    </row>
    <row r="450" spans="4:24" x14ac:dyDescent="0.2">
      <c r="D450" s="97" t="str">
        <f t="shared" si="76"/>
        <v/>
      </c>
      <c r="X450" s="62" t="str">
        <f>IFERROR(INDEX('GİRİŞ ANALİZİ'!$D:$D, MATCH($W450,'GİRİŞ ANALİZİ'!$B:$B, 0)),"Bulunamadı")</f>
        <v>Bulunamadı</v>
      </c>
    </row>
    <row r="451" spans="4:24" x14ac:dyDescent="0.2">
      <c r="D451" s="97" t="str">
        <f t="shared" ref="D451:D499" si="77">IF(C451="H5130003","HW.CASHEW NUT W320____________( 22.68 KG )",IF(C451="H5130001","HW.CASHEW NUT W240____________( 22.68 KG )",IF(C451="H5130164","HW.CASHEW NUT W180____________( 22.68 KG )","")))</f>
        <v/>
      </c>
      <c r="X451" s="62" t="str">
        <f>IFERROR(INDEX('GİRİŞ ANALİZİ'!$D:$D, MATCH($W451,'GİRİŞ ANALİZİ'!$B:$B, 0)),"Bulunamadı")</f>
        <v>Bulunamadı</v>
      </c>
    </row>
    <row r="452" spans="4:24" x14ac:dyDescent="0.2">
      <c r="D452" s="97" t="str">
        <f t="shared" si="77"/>
        <v/>
      </c>
      <c r="X452" s="62" t="str">
        <f>IFERROR(INDEX('GİRİŞ ANALİZİ'!$D:$D, MATCH($W452,'GİRİŞ ANALİZİ'!$B:$B, 0)),"Bulunamadı")</f>
        <v>Bulunamadı</v>
      </c>
    </row>
    <row r="453" spans="4:24" x14ac:dyDescent="0.2">
      <c r="D453" s="97" t="str">
        <f t="shared" si="77"/>
        <v/>
      </c>
      <c r="X453" s="62" t="str">
        <f>IFERROR(INDEX('GİRİŞ ANALİZİ'!$D:$D, MATCH($W453,'GİRİŞ ANALİZİ'!$B:$B, 0)),"Bulunamadı")</f>
        <v>Bulunamadı</v>
      </c>
    </row>
    <row r="454" spans="4:24" x14ac:dyDescent="0.2">
      <c r="D454" s="97" t="str">
        <f t="shared" si="77"/>
        <v/>
      </c>
      <c r="X454" s="62" t="str">
        <f>IFERROR(INDEX('GİRİŞ ANALİZİ'!$D:$D, MATCH($W454,'GİRİŞ ANALİZİ'!$B:$B, 0)),"Bulunamadı")</f>
        <v>Bulunamadı</v>
      </c>
    </row>
    <row r="455" spans="4:24" x14ac:dyDescent="0.2">
      <c r="D455" s="97" t="str">
        <f t="shared" si="77"/>
        <v/>
      </c>
      <c r="X455" s="62" t="str">
        <f>IFERROR(INDEX('GİRİŞ ANALİZİ'!$D:$D, MATCH($W455,'GİRİŞ ANALİZİ'!$B:$B, 0)),"Bulunamadı")</f>
        <v>Bulunamadı</v>
      </c>
    </row>
    <row r="456" spans="4:24" x14ac:dyDescent="0.2">
      <c r="D456" s="97" t="str">
        <f t="shared" si="77"/>
        <v/>
      </c>
      <c r="X456" s="62" t="str">
        <f>IFERROR(INDEX('GİRİŞ ANALİZİ'!$D:$D, MATCH($W456,'GİRİŞ ANALİZİ'!$B:$B, 0)),"Bulunamadı")</f>
        <v>Bulunamadı</v>
      </c>
    </row>
    <row r="457" spans="4:24" x14ac:dyDescent="0.2">
      <c r="D457" s="97" t="str">
        <f t="shared" si="77"/>
        <v/>
      </c>
      <c r="X457" s="62" t="str">
        <f>IFERROR(INDEX('GİRİŞ ANALİZİ'!$D:$D, MATCH($W457,'GİRİŞ ANALİZİ'!$B:$B, 0)),"Bulunamadı")</f>
        <v>Bulunamadı</v>
      </c>
    </row>
    <row r="458" spans="4:24" x14ac:dyDescent="0.2">
      <c r="D458" s="97" t="str">
        <f t="shared" si="77"/>
        <v/>
      </c>
      <c r="X458" s="62" t="str">
        <f>IFERROR(INDEX('GİRİŞ ANALİZİ'!$D:$D, MATCH($W458,'GİRİŞ ANALİZİ'!$B:$B, 0)),"Bulunamadı")</f>
        <v>Bulunamadı</v>
      </c>
    </row>
    <row r="459" spans="4:24" x14ac:dyDescent="0.2">
      <c r="D459" s="97" t="str">
        <f t="shared" si="77"/>
        <v/>
      </c>
      <c r="X459" s="62" t="str">
        <f>IFERROR(INDEX('GİRİŞ ANALİZİ'!$D:$D, MATCH($W459,'GİRİŞ ANALİZİ'!$B:$B, 0)),"Bulunamadı")</f>
        <v>Bulunamadı</v>
      </c>
    </row>
    <row r="460" spans="4:24" x14ac:dyDescent="0.2">
      <c r="D460" s="97" t="str">
        <f t="shared" si="77"/>
        <v/>
      </c>
      <c r="X460" s="62" t="str">
        <f>IFERROR(INDEX('GİRİŞ ANALİZİ'!$D:$D, MATCH($W460,'GİRİŞ ANALİZİ'!$B:$B, 0)),"Bulunamadı")</f>
        <v>Bulunamadı</v>
      </c>
    </row>
    <row r="461" spans="4:24" x14ac:dyDescent="0.2">
      <c r="D461" s="97" t="str">
        <f t="shared" si="77"/>
        <v/>
      </c>
      <c r="X461" s="62" t="str">
        <f>IFERROR(INDEX('GİRİŞ ANALİZİ'!$D:$D, MATCH($W461,'GİRİŞ ANALİZİ'!$B:$B, 0)),"Bulunamadı")</f>
        <v>Bulunamadı</v>
      </c>
    </row>
    <row r="462" spans="4:24" x14ac:dyDescent="0.2">
      <c r="D462" s="97" t="str">
        <f t="shared" si="77"/>
        <v/>
      </c>
      <c r="X462" s="62" t="str">
        <f>IFERROR(INDEX('GİRİŞ ANALİZİ'!$D:$D, MATCH($W462,'GİRİŞ ANALİZİ'!$B:$B, 0)),"Bulunamadı")</f>
        <v>Bulunamadı</v>
      </c>
    </row>
    <row r="463" spans="4:24" x14ac:dyDescent="0.2">
      <c r="D463" s="97" t="str">
        <f t="shared" si="77"/>
        <v/>
      </c>
      <c r="X463" s="62" t="str">
        <f>IFERROR(INDEX('GİRİŞ ANALİZİ'!$D:$D, MATCH($W463,'GİRİŞ ANALİZİ'!$B:$B, 0)),"Bulunamadı")</f>
        <v>Bulunamadı</v>
      </c>
    </row>
    <row r="464" spans="4:24" x14ac:dyDescent="0.2">
      <c r="D464" s="97" t="str">
        <f t="shared" si="77"/>
        <v/>
      </c>
      <c r="X464" s="62" t="str">
        <f>IFERROR(INDEX('GİRİŞ ANALİZİ'!$D:$D, MATCH($W464,'GİRİŞ ANALİZİ'!$B:$B, 0)),"Bulunamadı")</f>
        <v>Bulunamadı</v>
      </c>
    </row>
    <row r="465" spans="4:24" x14ac:dyDescent="0.2">
      <c r="D465" s="97" t="str">
        <f t="shared" si="77"/>
        <v/>
      </c>
      <c r="X465" s="62" t="str">
        <f>IFERROR(INDEX('GİRİŞ ANALİZİ'!$D:$D, MATCH($W465,'GİRİŞ ANALİZİ'!$B:$B, 0)),"Bulunamadı")</f>
        <v>Bulunamadı</v>
      </c>
    </row>
    <row r="466" spans="4:24" x14ac:dyDescent="0.2">
      <c r="D466" s="97" t="str">
        <f t="shared" si="77"/>
        <v/>
      </c>
      <c r="X466" s="62" t="str">
        <f>IFERROR(INDEX('GİRİŞ ANALİZİ'!$D:$D, MATCH($W466,'GİRİŞ ANALİZİ'!$B:$B, 0)),"Bulunamadı")</f>
        <v>Bulunamadı</v>
      </c>
    </row>
    <row r="467" spans="4:24" x14ac:dyDescent="0.2">
      <c r="D467" s="97" t="str">
        <f t="shared" si="77"/>
        <v/>
      </c>
      <c r="X467" s="62" t="str">
        <f>IFERROR(INDEX('GİRİŞ ANALİZİ'!$D:$D, MATCH($W467,'GİRİŞ ANALİZİ'!$B:$B, 0)),"Bulunamadı")</f>
        <v>Bulunamadı</v>
      </c>
    </row>
    <row r="468" spans="4:24" x14ac:dyDescent="0.2">
      <c r="D468" s="97" t="str">
        <f t="shared" si="77"/>
        <v/>
      </c>
      <c r="X468" s="62" t="str">
        <f>IFERROR(INDEX('GİRİŞ ANALİZİ'!$D:$D, MATCH($W468,'GİRİŞ ANALİZİ'!$B:$B, 0)),"Bulunamadı")</f>
        <v>Bulunamadı</v>
      </c>
    </row>
    <row r="469" spans="4:24" x14ac:dyDescent="0.2">
      <c r="D469" s="97" t="str">
        <f t="shared" si="77"/>
        <v/>
      </c>
      <c r="X469" s="62" t="str">
        <f>IFERROR(INDEX('GİRİŞ ANALİZİ'!$D:$D, MATCH($W469,'GİRİŞ ANALİZİ'!$B:$B, 0)),"Bulunamadı")</f>
        <v>Bulunamadı</v>
      </c>
    </row>
    <row r="470" spans="4:24" x14ac:dyDescent="0.2">
      <c r="D470" s="97" t="str">
        <f t="shared" si="77"/>
        <v/>
      </c>
      <c r="X470" s="62" t="str">
        <f>IFERROR(INDEX('GİRİŞ ANALİZİ'!$D:$D, MATCH($W470,'GİRİŞ ANALİZİ'!$B:$B, 0)),"Bulunamadı")</f>
        <v>Bulunamadı</v>
      </c>
    </row>
    <row r="471" spans="4:24" x14ac:dyDescent="0.2">
      <c r="D471" s="97" t="str">
        <f t="shared" si="77"/>
        <v/>
      </c>
      <c r="X471" s="62" t="str">
        <f>IFERROR(INDEX('GİRİŞ ANALİZİ'!$D:$D, MATCH($W471,'GİRİŞ ANALİZİ'!$B:$B, 0)),"Bulunamadı")</f>
        <v>Bulunamadı</v>
      </c>
    </row>
    <row r="472" spans="4:24" x14ac:dyDescent="0.2">
      <c r="D472" s="97" t="str">
        <f t="shared" si="77"/>
        <v/>
      </c>
      <c r="X472" s="62" t="str">
        <f>IFERROR(INDEX('GİRİŞ ANALİZİ'!$D:$D, MATCH($W472,'GİRİŞ ANALİZİ'!$B:$B, 0)),"Bulunamadı")</f>
        <v>Bulunamadı</v>
      </c>
    </row>
    <row r="473" spans="4:24" x14ac:dyDescent="0.2">
      <c r="D473" s="97" t="str">
        <f t="shared" si="77"/>
        <v/>
      </c>
      <c r="X473" s="62" t="str">
        <f>IFERROR(INDEX('GİRİŞ ANALİZİ'!$D:$D, MATCH($W473,'GİRİŞ ANALİZİ'!$B:$B, 0)),"Bulunamadı")</f>
        <v>Bulunamadı</v>
      </c>
    </row>
    <row r="474" spans="4:24" x14ac:dyDescent="0.2">
      <c r="D474" s="97" t="str">
        <f t="shared" si="77"/>
        <v/>
      </c>
      <c r="X474" s="62" t="str">
        <f>IFERROR(INDEX('GİRİŞ ANALİZİ'!$D:$D, MATCH($W474,'GİRİŞ ANALİZİ'!$B:$B, 0)),"Bulunamadı")</f>
        <v>Bulunamadı</v>
      </c>
    </row>
    <row r="475" spans="4:24" x14ac:dyDescent="0.2">
      <c r="D475" s="97" t="str">
        <f t="shared" si="77"/>
        <v/>
      </c>
      <c r="X475" s="62" t="str">
        <f>IFERROR(INDEX('GİRİŞ ANALİZİ'!$D:$D, MATCH($W475,'GİRİŞ ANALİZİ'!$B:$B, 0)),"Bulunamadı")</f>
        <v>Bulunamadı</v>
      </c>
    </row>
    <row r="476" spans="4:24" x14ac:dyDescent="0.2">
      <c r="D476" s="97" t="str">
        <f t="shared" si="77"/>
        <v/>
      </c>
      <c r="X476" s="62" t="str">
        <f>IFERROR(INDEX('GİRİŞ ANALİZİ'!$D:$D, MATCH($W476,'GİRİŞ ANALİZİ'!$B:$B, 0)),"Bulunamadı")</f>
        <v>Bulunamadı</v>
      </c>
    </row>
    <row r="477" spans="4:24" x14ac:dyDescent="0.2">
      <c r="D477" s="97" t="str">
        <f t="shared" si="77"/>
        <v/>
      </c>
      <c r="X477" s="62" t="str">
        <f>IFERROR(INDEX('GİRİŞ ANALİZİ'!$D:$D, MATCH($W477,'GİRİŞ ANALİZİ'!$B:$B, 0)),"Bulunamadı")</f>
        <v>Bulunamadı</v>
      </c>
    </row>
    <row r="478" spans="4:24" x14ac:dyDescent="0.2">
      <c r="D478" s="97" t="str">
        <f t="shared" si="77"/>
        <v/>
      </c>
      <c r="X478" s="62" t="str">
        <f>IFERROR(INDEX('GİRİŞ ANALİZİ'!$D:$D, MATCH($W478,'GİRİŞ ANALİZİ'!$B:$B, 0)),"Bulunamadı")</f>
        <v>Bulunamadı</v>
      </c>
    </row>
    <row r="479" spans="4:24" x14ac:dyDescent="0.2">
      <c r="D479" s="97" t="str">
        <f t="shared" si="77"/>
        <v/>
      </c>
      <c r="X479" s="62" t="str">
        <f>IFERROR(INDEX('GİRİŞ ANALİZİ'!$D:$D, MATCH($W479,'GİRİŞ ANALİZİ'!$B:$B, 0)),"Bulunamadı")</f>
        <v>Bulunamadı</v>
      </c>
    </row>
    <row r="480" spans="4:24" x14ac:dyDescent="0.2">
      <c r="D480" s="97" t="str">
        <f t="shared" si="77"/>
        <v/>
      </c>
      <c r="X480" s="62" t="str">
        <f>IFERROR(INDEX('GİRİŞ ANALİZİ'!$D:$D, MATCH($W480,'GİRİŞ ANALİZİ'!$B:$B, 0)),"Bulunamadı")</f>
        <v>Bulunamadı</v>
      </c>
    </row>
    <row r="481" spans="4:24" x14ac:dyDescent="0.2">
      <c r="D481" s="97" t="str">
        <f t="shared" si="77"/>
        <v/>
      </c>
      <c r="X481" s="62" t="str">
        <f>IFERROR(INDEX('GİRİŞ ANALİZİ'!$D:$D, MATCH($W481,'GİRİŞ ANALİZİ'!$B:$B, 0)),"Bulunamadı")</f>
        <v>Bulunamadı</v>
      </c>
    </row>
    <row r="482" spans="4:24" x14ac:dyDescent="0.2">
      <c r="D482" s="97" t="str">
        <f t="shared" si="77"/>
        <v/>
      </c>
      <c r="X482" s="62" t="str">
        <f>IFERROR(INDEX('GİRİŞ ANALİZİ'!$D:$D, MATCH($W482,'GİRİŞ ANALİZİ'!$B:$B, 0)),"Bulunamadı")</f>
        <v>Bulunamadı</v>
      </c>
    </row>
    <row r="483" spans="4:24" x14ac:dyDescent="0.2">
      <c r="D483" s="97" t="str">
        <f t="shared" si="77"/>
        <v/>
      </c>
      <c r="X483" s="62" t="str">
        <f>IFERROR(INDEX('GİRİŞ ANALİZİ'!$D:$D, MATCH($W483,'GİRİŞ ANALİZİ'!$B:$B, 0)),"Bulunamadı")</f>
        <v>Bulunamadı</v>
      </c>
    </row>
    <row r="484" spans="4:24" x14ac:dyDescent="0.2">
      <c r="D484" s="97" t="str">
        <f t="shared" si="77"/>
        <v/>
      </c>
      <c r="X484" s="62" t="str">
        <f>IFERROR(INDEX('GİRİŞ ANALİZİ'!$D:$D, MATCH($W484,'GİRİŞ ANALİZİ'!$B:$B, 0)),"Bulunamadı")</f>
        <v>Bulunamadı</v>
      </c>
    </row>
    <row r="485" spans="4:24" x14ac:dyDescent="0.2">
      <c r="D485" s="97" t="str">
        <f t="shared" si="77"/>
        <v/>
      </c>
      <c r="X485" s="62" t="str">
        <f>IFERROR(INDEX('GİRİŞ ANALİZİ'!$D:$D, MATCH($W485,'GİRİŞ ANALİZİ'!$B:$B, 0)),"Bulunamadı")</f>
        <v>Bulunamadı</v>
      </c>
    </row>
    <row r="486" spans="4:24" x14ac:dyDescent="0.2">
      <c r="D486" s="97" t="str">
        <f t="shared" si="77"/>
        <v/>
      </c>
      <c r="X486" s="62" t="str">
        <f>IFERROR(INDEX('GİRİŞ ANALİZİ'!$D:$D, MATCH($W486,'GİRİŞ ANALİZİ'!$B:$B, 0)),"Bulunamadı")</f>
        <v>Bulunamadı</v>
      </c>
    </row>
    <row r="487" spans="4:24" x14ac:dyDescent="0.2">
      <c r="D487" s="97" t="str">
        <f t="shared" si="77"/>
        <v/>
      </c>
      <c r="X487" s="62" t="str">
        <f>IFERROR(INDEX('GİRİŞ ANALİZİ'!$D:$D, MATCH($W487,'GİRİŞ ANALİZİ'!$B:$B, 0)),"Bulunamadı")</f>
        <v>Bulunamadı</v>
      </c>
    </row>
    <row r="488" spans="4:24" x14ac:dyDescent="0.2">
      <c r="D488" s="97" t="str">
        <f t="shared" si="77"/>
        <v/>
      </c>
      <c r="X488" s="62" t="str">
        <f>IFERROR(INDEX('GİRİŞ ANALİZİ'!$D:$D, MATCH($W488,'GİRİŞ ANALİZİ'!$B:$B, 0)),"Bulunamadı")</f>
        <v>Bulunamadı</v>
      </c>
    </row>
    <row r="489" spans="4:24" x14ac:dyDescent="0.2">
      <c r="D489" s="97" t="str">
        <f t="shared" si="77"/>
        <v/>
      </c>
      <c r="X489" s="62" t="str">
        <f>IFERROR(INDEX('GİRİŞ ANALİZİ'!$D:$D, MATCH($W489,'GİRİŞ ANALİZİ'!$B:$B, 0)),"Bulunamadı")</f>
        <v>Bulunamadı</v>
      </c>
    </row>
    <row r="490" spans="4:24" x14ac:dyDescent="0.2">
      <c r="D490" s="97" t="str">
        <f t="shared" si="77"/>
        <v/>
      </c>
      <c r="X490" s="62" t="str">
        <f>IFERROR(INDEX('GİRİŞ ANALİZİ'!$D:$D, MATCH($W490,'GİRİŞ ANALİZİ'!$B:$B, 0)),"Bulunamadı")</f>
        <v>Bulunamadı</v>
      </c>
    </row>
    <row r="491" spans="4:24" x14ac:dyDescent="0.2">
      <c r="D491" s="97" t="str">
        <f t="shared" si="77"/>
        <v/>
      </c>
      <c r="X491" s="62" t="str">
        <f>IFERROR(INDEX('GİRİŞ ANALİZİ'!$D:$D, MATCH($W491,'GİRİŞ ANALİZİ'!$B:$B, 0)),"Bulunamadı")</f>
        <v>Bulunamadı</v>
      </c>
    </row>
    <row r="492" spans="4:24" x14ac:dyDescent="0.2">
      <c r="D492" s="97" t="str">
        <f t="shared" si="77"/>
        <v/>
      </c>
      <c r="X492" s="62" t="str">
        <f>IFERROR(INDEX('GİRİŞ ANALİZİ'!$D:$D, MATCH($W492,'GİRİŞ ANALİZİ'!$B:$B, 0)),"Bulunamadı")</f>
        <v>Bulunamadı</v>
      </c>
    </row>
    <row r="493" spans="4:24" x14ac:dyDescent="0.2">
      <c r="D493" s="97" t="str">
        <f t="shared" si="77"/>
        <v/>
      </c>
      <c r="X493" s="62" t="str">
        <f>IFERROR(INDEX('GİRİŞ ANALİZİ'!$D:$D, MATCH($W493,'GİRİŞ ANALİZİ'!$B:$B, 0)),"Bulunamadı")</f>
        <v>Bulunamadı</v>
      </c>
    </row>
    <row r="494" spans="4:24" x14ac:dyDescent="0.2">
      <c r="D494" s="97" t="str">
        <f t="shared" si="77"/>
        <v/>
      </c>
      <c r="X494" s="62" t="str">
        <f>IFERROR(INDEX('GİRİŞ ANALİZİ'!$D:$D, MATCH($W494,'GİRİŞ ANALİZİ'!$B:$B, 0)),"Bulunamadı")</f>
        <v>Bulunamadı</v>
      </c>
    </row>
    <row r="495" spans="4:24" x14ac:dyDescent="0.2">
      <c r="D495" s="97" t="str">
        <f t="shared" si="77"/>
        <v/>
      </c>
      <c r="X495" s="62" t="str">
        <f>IFERROR(INDEX('GİRİŞ ANALİZİ'!$D:$D, MATCH($W495,'GİRİŞ ANALİZİ'!$B:$B, 0)),"Bulunamadı")</f>
        <v>Bulunamadı</v>
      </c>
    </row>
    <row r="496" spans="4:24" x14ac:dyDescent="0.2">
      <c r="D496" s="97" t="str">
        <f t="shared" si="77"/>
        <v/>
      </c>
      <c r="X496" s="62" t="str">
        <f>IFERROR(INDEX('GİRİŞ ANALİZİ'!$D:$D, MATCH($W496,'GİRİŞ ANALİZİ'!$B:$B, 0)),"Bulunamadı")</f>
        <v>Bulunamadı</v>
      </c>
    </row>
    <row r="497" spans="4:24" x14ac:dyDescent="0.2">
      <c r="D497" s="97" t="str">
        <f t="shared" si="77"/>
        <v/>
      </c>
      <c r="X497" s="62" t="str">
        <f>IFERROR(INDEX('GİRİŞ ANALİZİ'!$D:$D, MATCH($W497,'GİRİŞ ANALİZİ'!$B:$B, 0)),"Bulunamadı")</f>
        <v>Bulunamadı</v>
      </c>
    </row>
    <row r="498" spans="4:24" x14ac:dyDescent="0.2">
      <c r="D498" s="97" t="str">
        <f t="shared" si="77"/>
        <v/>
      </c>
      <c r="X498" s="62" t="str">
        <f>IFERROR(INDEX('GİRİŞ ANALİZİ'!$D:$D, MATCH($W498,'GİRİŞ ANALİZİ'!$B:$B, 0)),"Bulunamadı")</f>
        <v>Bulunamadı</v>
      </c>
    </row>
    <row r="499" spans="4:24" x14ac:dyDescent="0.2">
      <c r="D499" s="97" t="str">
        <f t="shared" si="77"/>
        <v/>
      </c>
      <c r="X499" s="62" t="str">
        <f>IFERROR(INDEX('GİRİŞ ANALİZİ'!$D:$D, MATCH($W499,'GİRİŞ ANALİZİ'!$B:$B, 0)),"Bulunamadı")</f>
        <v>Bulunamadı</v>
      </c>
    </row>
  </sheetData>
  <autoFilter ref="A1:AD499" xr:uid="{00000000-0009-0000-0000-000001000000}"/>
  <mergeCells count="2">
    <mergeCell ref="AD7:AD9"/>
    <mergeCell ref="AD10:AD11"/>
  </mergeCells>
  <conditionalFormatting sqref="A2:C100 E2:AA100">
    <cfRule type="expression" dxfId="85" priority="10">
      <formula>$AB2="Yüklenmedi"</formula>
    </cfRule>
    <cfRule type="expression" dxfId="84" priority="11">
      <formula>$AB2="Antrepoda"</formula>
    </cfRule>
    <cfRule type="expression" dxfId="83" priority="12">
      <formula>$AB2="Yolda"</formula>
    </cfRule>
    <cfRule type="expression" dxfId="82" priority="13">
      <formula>$AB2="İçeri Çekildi"</formula>
    </cfRule>
  </conditionalFormatting>
  <conditionalFormatting sqref="A2:AA61 D3:D499 I59:I66 C62:D62 Z62 F62:F63 C63">
    <cfRule type="expression" dxfId="81" priority="1">
      <formula>$AB2="Limanda"</formula>
    </cfRule>
  </conditionalFormatting>
  <conditionalFormatting sqref="D2:D499">
    <cfRule type="expression" dxfId="80" priority="2">
      <formula>$AB2="Yüklenmedi"</formula>
    </cfRule>
    <cfRule type="expression" dxfId="79" priority="3">
      <formula>$AB2="Antrepoda"</formula>
    </cfRule>
    <cfRule type="expression" dxfId="78" priority="4">
      <formula>$AB2="Yolda"</formula>
    </cfRule>
    <cfRule type="expression" dxfId="77" priority="5">
      <formula>$AB2="İçeri Çekildi"</formula>
    </cfRule>
  </conditionalFormatting>
  <dataValidations count="1">
    <dataValidation type="list" allowBlank="1" showInputMessage="1" showErrorMessage="1" sqref="AB2:AB499" xr:uid="{00000000-0002-0000-0100-000000000000}">
      <formula1>$AD$2:$AD$6</formula1>
    </dataValidation>
  </dataValidations>
  <hyperlinks>
    <hyperlink ref="W63" r:id="rId1" xr:uid="{00000000-0004-0000-0100-000000000000}"/>
    <hyperlink ref="W64" r:id="rId2" xr:uid="{00000000-0004-0000-0100-000001000000}"/>
    <hyperlink ref="W65" r:id="rId3" xr:uid="{00000000-0004-0000-0100-000002000000}"/>
    <hyperlink ref="W66" r:id="rId4" xr:uid="{00000000-0004-0000-0100-000003000000}"/>
  </hyperlinks>
  <pageMargins left="0" right="0" top="0" bottom="0" header="0" footer="0"/>
  <pageSetup paperSize="9" scale="61" orientation="landscape"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M27"/>
  <sheetViews>
    <sheetView zoomScaleNormal="100" workbookViewId="0">
      <pane ySplit="1" topLeftCell="A2" activePane="bottomLeft" state="frozen"/>
      <selection pane="bottomLeft" activeCell="M3" sqref="M3"/>
    </sheetView>
  </sheetViews>
  <sheetFormatPr defaultRowHeight="12.75" x14ac:dyDescent="0.2"/>
  <cols>
    <col min="1" max="2" width="10.42578125" bestFit="1" customWidth="1"/>
    <col min="3" max="3" width="11.42578125" customWidth="1"/>
    <col min="4" max="4" width="39.85546875" bestFit="1" customWidth="1"/>
    <col min="5" max="5" width="10.42578125" style="41" bestFit="1" customWidth="1"/>
    <col min="6" max="6" width="14.28515625" style="144" bestFit="1" customWidth="1"/>
    <col min="7" max="7" width="14.28515625" style="58" bestFit="1" customWidth="1"/>
    <col min="8" max="8" width="11.85546875" customWidth="1"/>
    <col min="9" max="10" width="14.28515625" bestFit="1" customWidth="1"/>
    <col min="11" max="11" width="16.140625" bestFit="1" customWidth="1"/>
    <col min="12" max="12" width="10.42578125" bestFit="1" customWidth="1"/>
  </cols>
  <sheetData>
    <row r="1" spans="1:13" ht="25.5" x14ac:dyDescent="0.2">
      <c r="A1" s="11" t="s">
        <v>160</v>
      </c>
      <c r="B1" s="15" t="s">
        <v>157</v>
      </c>
      <c r="C1" s="15" t="s">
        <v>151</v>
      </c>
      <c r="D1" s="15" t="s">
        <v>152</v>
      </c>
      <c r="E1" s="39" t="s">
        <v>153</v>
      </c>
      <c r="F1" s="142" t="s">
        <v>95</v>
      </c>
      <c r="G1" s="16" t="s">
        <v>244</v>
      </c>
      <c r="H1" s="15" t="s">
        <v>158</v>
      </c>
      <c r="I1" s="15" t="s">
        <v>154</v>
      </c>
      <c r="J1" s="15" t="s">
        <v>10</v>
      </c>
      <c r="K1" s="15" t="s">
        <v>155</v>
      </c>
      <c r="L1" s="15" t="s">
        <v>156</v>
      </c>
    </row>
    <row r="2" spans="1:13" x14ac:dyDescent="0.2">
      <c r="A2" s="38" t="str">
        <f>IFERROR(HYPERLINK("#"&amp;ADDRESS(MATCH($F2,'SATIN ALMA'!$R:$R,0),COLUMN('SATIN ALMA'!$R:$R),1,1,"SATIN ALMA"),"Git →"),"Bulunamadı")</f>
        <v>Git →</v>
      </c>
      <c r="B2" s="37" t="str">
        <f>IFERROR(INDEX('SATIN ALMA'!$F:$F, MATCH($F2, 'SATIN ALMA'!$R:$R, 0)),"Bulunamadı")</f>
        <v>LIEN VIET</v>
      </c>
      <c r="C2" s="37" t="str">
        <f>IFERROR(INDEX('SATIN ALMA'!$C:$C, MATCH($F2, 'SATIN ALMA'!$R:$R, 0)),"Bulunamadı"
)</f>
        <v>H5130003</v>
      </c>
      <c r="D2" s="63" t="str">
        <f>IFERROR(INDEX('SATIN ALMA'!$D:$D, MATCH($F2, 'SATIN ALMA'!$R:$R, 0)),"Bulunamadı"
)</f>
        <v>HW.CASHEW NUT W320____________( 22.68 KG )</v>
      </c>
      <c r="E2" s="40">
        <f>IFERROR(INDEX('SATIN ALMA'!$O:$O, MATCH($F2, 'SATIN ALMA'!$R:$R, 0)),"Bulunamadı"
)</f>
        <v>24948</v>
      </c>
      <c r="F2" s="63" t="s">
        <v>114</v>
      </c>
      <c r="G2" s="65" t="str">
        <f>IFERROR(INDEX('GİRİŞ ANALİZİ'!$D:$D, MATCH($F2, 'GİRİŞ ANALİZİ'!$C:$C, 0)),"Bulunamadı"
)</f>
        <v>Bulunamadı</v>
      </c>
      <c r="H2" s="65" t="str">
        <f>IFERROR(INDEX('GİRİŞ ANALİZİ'!$E:$E, MATCH($F2, 'GİRİŞ ANALİZİ'!$C:$C, 0)),"Bulunamadı"
)</f>
        <v>Bulunamadı</v>
      </c>
      <c r="I2" s="38" t="str">
        <f>IFERROR(INDEX('SATIN ALMA'!$S:$S, MATCH(F2, 'SATIN ALMA'!$R:$R, 0)),"Bulunamadı"
)</f>
        <v>AN00039845</v>
      </c>
      <c r="J2" s="38" t="str">
        <f>IFERROR(INDEX('SATIN ALMA'!$T:$T, MATCH($F2, 'SATIN ALMA'!$R:$R, 0)),"Bulunamadı")</f>
        <v>MEDUHQ768986</v>
      </c>
      <c r="K2" s="38" t="str">
        <f>IFERROR(INDEX('SATIN ALMA'!$V:$V, MATCH($F2, 'SATIN ALMA'!$R:$R, 0)),"Bulunamadı"
)</f>
        <v>25286-IT25154209</v>
      </c>
      <c r="L2" s="38" t="str">
        <f>IFERROR(
  INDEX('SATIN ALMA'!$W:$W, MATCH($F2, 'SATIN ALMA'!$R:$R, 0)),
  "Bulunamadı"
)</f>
        <v>HD41312</v>
      </c>
    </row>
    <row r="3" spans="1:13" x14ac:dyDescent="0.2">
      <c r="A3" s="38" t="str">
        <f>IFERROR(HYPERLINK("#"&amp;ADDRESS(MATCH($F3,'SATIN ALMA'!$R:$R,0),COLUMN('SATIN ALMA'!$R:$R),1,1,"SATIN ALMA"),"Git →"),"Bulunamadı")</f>
        <v>Git →</v>
      </c>
      <c r="B3" s="37" t="str">
        <f>IFERROR(INDEX('SATIN ALMA'!$F:$F, MATCH($F3, 'SATIN ALMA'!$R:$R, 0)),"Bulunamadı")</f>
        <v>MANH TUAN</v>
      </c>
      <c r="C3" s="37" t="str">
        <f>IFERROR(INDEX('SATIN ALMA'!$C:$C, MATCH($F3, 'SATIN ALMA'!$R:$R, 0)),"Bulunamadı"
)</f>
        <v>H5130003</v>
      </c>
      <c r="D3" s="63" t="str">
        <f>IFERROR(INDEX('SATIN ALMA'!$D:$D, MATCH($F3, 'SATIN ALMA'!$R:$R, 0)),"Bulunamadı"
)</f>
        <v>HW.CASHEW NUT W320____________( 22.68 KG )</v>
      </c>
      <c r="E3" s="40">
        <f>IFERROR(INDEX('SATIN ALMA'!$O:$O, MATCH($F3, 'SATIN ALMA'!$R:$R, 0)),"Bulunamadı"
)</f>
        <v>24948</v>
      </c>
      <c r="F3" s="63" t="s">
        <v>284</v>
      </c>
      <c r="G3" s="65" t="str">
        <f>IFERROR(INDEX('GİRİŞ ANALİZİ'!$D:$D, MATCH($F3, 'GİRİŞ ANALİZİ'!$C:$C, 0)),"Bulunamadı"
)</f>
        <v>Bulunamadı</v>
      </c>
      <c r="H3" s="65" t="str">
        <f>IFERROR(INDEX('GİRİŞ ANALİZİ'!$E:$E, MATCH($F3, 'GİRİŞ ANALİZİ'!$C:$C, 0)),"Bulunamadı"
)</f>
        <v>Bulunamadı</v>
      </c>
      <c r="I3" s="38" t="str">
        <f>IFERROR(INDEX('SATIN ALMA'!$S:$S, MATCH(F3, 'SATIN ALMA'!$R:$R, 0)),"Bulunamadı"
)</f>
        <v>AN00043225</v>
      </c>
      <c r="J3" s="38" t="str">
        <f>IFERROR(INDEX('SATIN ALMA'!$T:$T, MATCH($F3, 'SATIN ALMA'!$R:$R, 0)),"Bulunamadı")</f>
        <v>MEDUHQ815092</v>
      </c>
      <c r="K3" s="38" t="str">
        <f>IFERROR(INDEX('SATIN ALMA'!$V:$V, MATCH($F3, 'SATIN ALMA'!$R:$R, 0)),"Bulunamadı"
)</f>
        <v>26008-IT26154012</v>
      </c>
      <c r="L3" s="38" t="str">
        <f>IFERROR(
  INDEX('SATIN ALMA'!$W:$W, MATCH($F3, 'SATIN ALMA'!$R:$R, 0)),
  "Bulunamadı"
)</f>
        <v>HD47612-2</v>
      </c>
    </row>
    <row r="4" spans="1:13" x14ac:dyDescent="0.2">
      <c r="A4" s="38" t="str">
        <f>IFERROR(HYPERLINK("#"&amp;ADDRESS(MATCH($F4,'SATIN ALMA'!$R:$R,0),COLUMN('SATIN ALMA'!$R:$R),1,1,"SATIN ALMA"),"Git →"),"Bulunamadı")</f>
        <v>Git →</v>
      </c>
      <c r="B4" s="37" t="str">
        <f>IFERROR(INDEX('SATIN ALMA'!$F:$F, MATCH($F4, 'SATIN ALMA'!$R:$R, 0)),"Bulunamadı")</f>
        <v>TRU LANH</v>
      </c>
      <c r="C4" s="37" t="str">
        <f>IFERROR(INDEX('SATIN ALMA'!$C:$C, MATCH($F4, 'SATIN ALMA'!$R:$R, 0)),"Bulunamadı"
)</f>
        <v>H5130003</v>
      </c>
      <c r="D4" s="63" t="str">
        <f>IFERROR(INDEX('SATIN ALMA'!$D:$D, MATCH($F4, 'SATIN ALMA'!$R:$R, 0)),"Bulunamadı"
)</f>
        <v>HW.CASHEW NUT W320____________( 22.68 KG )</v>
      </c>
      <c r="E4" s="40">
        <f>IFERROR(INDEX('SATIN ALMA'!$O:$O, MATCH($F4, 'SATIN ALMA'!$R:$R, 0)),"Bulunamadı"
)</f>
        <v>24948</v>
      </c>
      <c r="F4" s="63" t="s">
        <v>273</v>
      </c>
      <c r="G4" s="65" t="str">
        <f>IFERROR(INDEX('GİRİŞ ANALİZİ'!$D:$D, MATCH($F4, 'GİRİŞ ANALİZİ'!$C:$C, 0)),"Bulunamadı"
)</f>
        <v>Bulunamadı</v>
      </c>
      <c r="H4" s="65" t="str">
        <f>IFERROR(INDEX('GİRİŞ ANALİZİ'!$E:$E, MATCH($F4, 'GİRİŞ ANALİZİ'!$C:$C, 0)),"Bulunamadı"
)</f>
        <v>Bulunamadı</v>
      </c>
      <c r="I4" s="38" t="str">
        <f>IFERROR(INDEX('SATIN ALMA'!$S:$S, MATCH(F4, 'SATIN ALMA'!$R:$R, 0)),"Bulunamadı"
)</f>
        <v>AN00043228</v>
      </c>
      <c r="J4" s="38" t="str">
        <f>IFERROR(INDEX('SATIN ALMA'!$T:$T, MATCH($F4, 'SATIN ALMA'!$R:$R, 0)),"Bulunamadı")</f>
        <v>MEDUHQ862177</v>
      </c>
      <c r="K4" s="38" t="str">
        <f>IFERROR(INDEX('SATIN ALMA'!$V:$V, MATCH($F4, 'SATIN ALMA'!$R:$R, 0)),"Bulunamadı"
)</f>
        <v>26006-IT26154006</v>
      </c>
      <c r="L4" s="38" t="str">
        <f>IFERROR(
  INDEX('SATIN ALMA'!$W:$W, MATCH($F4, 'SATIN ALMA'!$R:$R, 0)),
  "Bulunamadı"
)</f>
        <v>HD47712-2</v>
      </c>
      <c r="M4" s="68"/>
    </row>
    <row r="5" spans="1:13" x14ac:dyDescent="0.2">
      <c r="A5" s="38" t="str">
        <f>IFERROR(HYPERLINK("#"&amp;ADDRESS(MATCH($F5,'SATIN ALMA'!$R:$R,0),COLUMN('SATIN ALMA'!$R:$R),1,1,"SATIN ALMA"),"Git →"),"Bulunamadı")</f>
        <v>Git →</v>
      </c>
      <c r="B5" s="37" t="str">
        <f>IFERROR(INDEX('SATIN ALMA'!$F:$F, MATCH($F5, 'SATIN ALMA'!$R:$R, 0)),"Bulunamadı")</f>
        <v>TRU LANH</v>
      </c>
      <c r="C5" s="37" t="str">
        <f>IFERROR(INDEX('SATIN ALMA'!$C:$C, MATCH($F5, 'SATIN ALMA'!$R:$R, 0)),"Bulunamadı"
)</f>
        <v>H5130003</v>
      </c>
      <c r="D5" s="63" t="str">
        <f>IFERROR(INDEX('SATIN ALMA'!$D:$D, MATCH($F5, 'SATIN ALMA'!$R:$R, 0)),"Bulunamadı"
)</f>
        <v>HW.CASHEW NUT W320____________( 22.68 KG )</v>
      </c>
      <c r="E5" s="40">
        <f>IFERROR(INDEX('SATIN ALMA'!$O:$O, MATCH($F5, 'SATIN ALMA'!$R:$R, 0)),"Bulunamadı"
)</f>
        <v>24948</v>
      </c>
      <c r="F5" s="63" t="s">
        <v>275</v>
      </c>
      <c r="G5" s="65" t="str">
        <f>IFERROR(INDEX('GİRİŞ ANALİZİ'!$D:$D, MATCH($F5, 'GİRİŞ ANALİZİ'!$C:$C, 0)),"Bulunamadı"
)</f>
        <v>Bulunamadı</v>
      </c>
      <c r="H5" s="65" t="str">
        <f>IFERROR(INDEX('GİRİŞ ANALİZİ'!$E:$E, MATCH($F5, 'GİRİŞ ANALİZİ'!$C:$C, 0)),"Bulunamadı"
)</f>
        <v>Bulunamadı</v>
      </c>
      <c r="I5" s="38" t="str">
        <f>IFERROR(INDEX('SATIN ALMA'!$S:$S, MATCH(F5, 'SATIN ALMA'!$R:$R, 0)),"Bulunamadı"
)</f>
        <v>AN00043227</v>
      </c>
      <c r="J5" s="38" t="str">
        <f>IFERROR(INDEX('SATIN ALMA'!$T:$T, MATCH($F5, 'SATIN ALMA'!$R:$R, 0)),"Bulunamadı")</f>
        <v>MEDUHQ862268</v>
      </c>
      <c r="K5" s="38" t="str">
        <f>IFERROR(INDEX('SATIN ALMA'!$V:$V, MATCH($F5, 'SATIN ALMA'!$R:$R, 0)),"Bulunamadı"
)</f>
        <v>26006-IT26154006</v>
      </c>
      <c r="L5" s="38" t="str">
        <f>IFERROR(
  INDEX('SATIN ALMA'!$W:$W, MATCH($F5, 'SATIN ALMA'!$R:$R, 0)),
  "Bulunamadı"
)</f>
        <v>HD47712-1</v>
      </c>
      <c r="M5" s="68"/>
    </row>
    <row r="6" spans="1:13" x14ac:dyDescent="0.2">
      <c r="A6" s="38" t="str">
        <f>IFERROR(HYPERLINK("#"&amp;ADDRESS(MATCH($F6,'SATIN ALMA'!$R:$R,0),COLUMN('SATIN ALMA'!$R:$R),1,1,"SATIN ALMA"),"Git →"),"Bulunamadı")</f>
        <v>Git →</v>
      </c>
      <c r="B6" s="37" t="str">
        <f>IFERROR(INDEX('SATIN ALMA'!$F:$F, MATCH($F6, 'SATIN ALMA'!$R:$R, 0)),"Bulunamadı")</f>
        <v>LIEN VIET</v>
      </c>
      <c r="C6" s="37" t="str">
        <f>IFERROR(INDEX('SATIN ALMA'!$C:$C, MATCH($F6, 'SATIN ALMA'!$R:$R, 0)),"Bulunamadı"
)</f>
        <v>H5130164</v>
      </c>
      <c r="D6" s="63" t="str">
        <f>IFERROR(INDEX('SATIN ALMA'!$D:$D, MATCH($F6, 'SATIN ALMA'!$R:$R, 0)),"Bulunamadı"
)</f>
        <v>HW.CASHEW NUT W180____________( 22.68 KG )</v>
      </c>
      <c r="E6" s="40">
        <f>IFERROR(INDEX('SATIN ALMA'!$O:$O, MATCH($F6, 'SATIN ALMA'!$R:$R, 0)),"Bulunamadı"
)</f>
        <v>24948</v>
      </c>
      <c r="F6" s="63" t="s">
        <v>234</v>
      </c>
      <c r="G6" s="65" t="str">
        <f>IFERROR(INDEX('GİRİŞ ANALİZİ'!$D:$D, MATCH($F6, 'GİRİŞ ANALİZİ'!$C:$C, 0)),"Bulunamadı"
)</f>
        <v>Bulunamadı</v>
      </c>
      <c r="H6" s="65" t="str">
        <f>IFERROR(INDEX('GİRİŞ ANALİZİ'!$E:$E, MATCH($F6, 'GİRİŞ ANALİZİ'!$C:$C, 0)),"Bulunamadı"
)</f>
        <v>Bulunamadı</v>
      </c>
      <c r="I6" s="38" t="str">
        <f>IFERROR(INDEX('SATIN ALMA'!$S:$S, MATCH(F6, 'SATIN ALMA'!$R:$R, 0)),"Bulunamadı"
)</f>
        <v>AN00043756</v>
      </c>
      <c r="J6" s="38" t="str">
        <f>IFERROR(INDEX('SATIN ALMA'!$T:$T, MATCH($F6, 'SATIN ALMA'!$R:$R, 0)),"Bulunamadı")</f>
        <v>MEDUHQ854240 </v>
      </c>
      <c r="K6" s="38" t="str">
        <f>IFERROR(INDEX('SATIN ALMA'!$V:$V, MATCH($F6, 'SATIN ALMA'!$R:$R, 0)),"Bulunamadı"
)</f>
        <v>26010-IT25154014</v>
      </c>
      <c r="L6" s="38" t="str">
        <f>IFERROR(
  INDEX('SATIN ALMA'!$W:$W, MATCH($F6, 'SATIN ALMA'!$R:$R, 0)),
  "Bulunamadı"
)</f>
        <v>HD48112</v>
      </c>
    </row>
    <row r="7" spans="1:13" x14ac:dyDescent="0.2">
      <c r="A7" s="38" t="str">
        <f>IFERROR(HYPERLINK("#"&amp;ADDRESS(MATCH($F7,'SATIN ALMA'!$R:$R,0),COLUMN('SATIN ALMA'!$R:$R),1,1,"SATIN ALMA"),"Git →"),"Bulunamadı")</f>
        <v>Git →</v>
      </c>
      <c r="B7" s="37" t="str">
        <f>IFERROR(INDEX('SATIN ALMA'!$F:$F, MATCH($F7, 'SATIN ALMA'!$R:$R, 0)),"Bulunamadı")</f>
        <v>LIEN VIET</v>
      </c>
      <c r="C7" s="37" t="str">
        <f>IFERROR(INDEX('SATIN ALMA'!$C:$C, MATCH($F7, 'SATIN ALMA'!$R:$R, 0)),"Bulunamadı"
)</f>
        <v>H5130003</v>
      </c>
      <c r="D7" s="63" t="str">
        <f>IFERROR(INDEX('SATIN ALMA'!$D:$D, MATCH($F7, 'SATIN ALMA'!$R:$R, 0)),"Bulunamadı"
)</f>
        <v>HW.CASHEW NUT W320____________( 22.68 KG )</v>
      </c>
      <c r="E7" s="40">
        <f>IFERROR(INDEX('SATIN ALMA'!$O:$O, MATCH($F7, 'SATIN ALMA'!$R:$R, 0)),"Bulunamadı"
)</f>
        <v>24948</v>
      </c>
      <c r="F7" s="143" t="s">
        <v>214</v>
      </c>
      <c r="G7" s="65" t="str">
        <f>IFERROR(INDEX('GİRİŞ ANALİZİ'!$D:$D, MATCH($F7, 'GİRİŞ ANALİZİ'!$C:$C, 0)),"Bulunamadı"
)</f>
        <v>Bulunamadı</v>
      </c>
      <c r="H7" s="65" t="str">
        <f>IFERROR(INDEX('GİRİŞ ANALİZİ'!$E:$E, MATCH($F7, 'GİRİŞ ANALİZİ'!$C:$C, 0)),"Bulunamadı"
)</f>
        <v>Bulunamadı</v>
      </c>
      <c r="I7" s="38" t="str">
        <f>IFERROR(INDEX('SATIN ALMA'!$S:$S, MATCH(F7, 'SATIN ALMA'!$R:$R, 0)),"Bulunamadı"
)</f>
        <v>AN00043759</v>
      </c>
      <c r="J7" s="38" t="str">
        <f>IFERROR(INDEX('SATIN ALMA'!$T:$T, MATCH($F7, 'SATIN ALMA'!$R:$R, 0)),"Bulunamadı")</f>
        <v>MEDUHQ837781</v>
      </c>
      <c r="K7" s="38" t="str">
        <f>IFERROR(INDEX('SATIN ALMA'!$V:$V, MATCH($F7, 'SATIN ALMA'!$R:$R, 0)),"Bulunamadı"
)</f>
        <v>26010-IT26154014</v>
      </c>
      <c r="L7" s="38" t="str">
        <f>IFERROR(
  INDEX('SATIN ALMA'!$W:$W, MATCH($F7, 'SATIN ALMA'!$R:$R, 0)),
  "Bulunamadı"
)</f>
        <v>HD48012-1</v>
      </c>
    </row>
    <row r="8" spans="1:13" x14ac:dyDescent="0.2">
      <c r="A8" s="38" t="str">
        <f>IFERROR(HYPERLINK("#"&amp;ADDRESS(MATCH($F8,'SATIN ALMA'!$R:$R,0),COLUMN('SATIN ALMA'!$R:$R),1,1,"SATIN ALMA"),"Git →"),"Bulunamadı")</f>
        <v>Git →</v>
      </c>
      <c r="B8" s="37" t="str">
        <f>IFERROR(INDEX('SATIN ALMA'!$F:$F, MATCH($F8, 'SATIN ALMA'!$R:$R, 0)),"Bulunamadı")</f>
        <v>LIEN VIET</v>
      </c>
      <c r="C8" s="37" t="str">
        <f>IFERROR(INDEX('SATIN ALMA'!$C:$C, MATCH($F8, 'SATIN ALMA'!$R:$R, 0)),"Bulunamadı"
)</f>
        <v>H5130003</v>
      </c>
      <c r="D8" s="63" t="str">
        <f>IFERROR(INDEX('SATIN ALMA'!$D:$D, MATCH($F8, 'SATIN ALMA'!$R:$R, 0)),"Bulunamadı"
)</f>
        <v>HW.CASHEW NUT W320____________( 22.68 KG )</v>
      </c>
      <c r="E8" s="40">
        <f>IFERROR(INDEX('SATIN ALMA'!$O:$O, MATCH($F8, 'SATIN ALMA'!$R:$R, 0)),"Bulunamadı"
)</f>
        <v>24948</v>
      </c>
      <c r="F8" s="143" t="s">
        <v>215</v>
      </c>
      <c r="G8" s="65" t="str">
        <f>IFERROR(INDEX('GİRİŞ ANALİZİ'!$D:$D, MATCH($F8, 'GİRİŞ ANALİZİ'!$C:$C, 0)),"Bulunamadı"
)</f>
        <v>Bulunamadı</v>
      </c>
      <c r="H8" s="65" t="str">
        <f>IFERROR(INDEX('GİRİŞ ANALİZİ'!$E:$E, MATCH($F8, 'GİRİŞ ANALİZİ'!$C:$C, 0)),"Bulunamadı"
)</f>
        <v>Bulunamadı</v>
      </c>
      <c r="I8" s="38" t="str">
        <f>IFERROR(INDEX('SATIN ALMA'!$S:$S, MATCH(F8, 'SATIN ALMA'!$R:$R, 0)),"Bulunamadı"
)</f>
        <v>AN00043759</v>
      </c>
      <c r="J8" s="38" t="str">
        <f>IFERROR(INDEX('SATIN ALMA'!$T:$T, MATCH($F8, 'SATIN ALMA'!$R:$R, 0)),"Bulunamadı")</f>
        <v>MEDUHQ837781</v>
      </c>
      <c r="K8" s="38" t="str">
        <f>IFERROR(INDEX('SATIN ALMA'!$V:$V, MATCH($F8, 'SATIN ALMA'!$R:$R, 0)),"Bulunamadı"
)</f>
        <v>26010-IT26154014</v>
      </c>
      <c r="L8" s="38" t="str">
        <f>IFERROR(
  INDEX('SATIN ALMA'!$W:$W, MATCH($F8, 'SATIN ALMA'!$R:$R, 0)),
  "Bulunamadı"
)</f>
        <v>HD48012-2</v>
      </c>
    </row>
    <row r="9" spans="1:13" x14ac:dyDescent="0.2">
      <c r="A9" s="38" t="str">
        <f>IFERROR(HYPERLINK("#"&amp;ADDRESS(MATCH($F9,'SATIN ALMA'!$R:$R,0),COLUMN('SATIN ALMA'!$R:$R),1,1,"SATIN ALMA"),"Git →"),"Bulunamadı")</f>
        <v>Git →</v>
      </c>
      <c r="B9" s="37" t="str">
        <f>IFERROR(INDEX('SATIN ALMA'!$F:$F, MATCH($F9, 'SATIN ALMA'!$R:$R, 0)),"Bulunamadı")</f>
        <v>NGAN NGOC</v>
      </c>
      <c r="C9" s="37" t="str">
        <f>IFERROR(INDEX('SATIN ALMA'!$C:$C, MATCH($F9, 'SATIN ALMA'!$R:$R, 0)),"Bulunamadı"
)</f>
        <v>H5130003</v>
      </c>
      <c r="D9" s="63" t="str">
        <f>IFERROR(INDEX('SATIN ALMA'!$D:$D, MATCH($F9, 'SATIN ALMA'!$R:$R, 0)),"Bulunamadı"
)</f>
        <v>HW.CASHEW NUT W320____________( 22.68 KG )</v>
      </c>
      <c r="E9" s="40">
        <f>IFERROR(INDEX('SATIN ALMA'!$O:$O, MATCH($F9, 'SATIN ALMA'!$R:$R, 0)),"Bulunamadı"
)</f>
        <v>24948</v>
      </c>
      <c r="F9" s="143" t="s">
        <v>291</v>
      </c>
      <c r="G9" s="65" t="str">
        <f>IFERROR(INDEX('GİRİŞ ANALİZİ'!$D:$D, MATCH($F9, 'GİRİŞ ANALİZİ'!$C:$C, 0)),"Bulunamadı"
)</f>
        <v>Bulunamadı</v>
      </c>
      <c r="H9" s="65" t="str">
        <f>IFERROR(INDEX('GİRİŞ ANALİZİ'!$E:$E, MATCH($F9, 'GİRİŞ ANALİZİ'!$C:$C, 0)),"Bulunamadı"
)</f>
        <v>Bulunamadı</v>
      </c>
      <c r="I9" s="38" t="str">
        <f>IFERROR(INDEX('SATIN ALMA'!$S:$S, MATCH(F9, 'SATIN ALMA'!$R:$R, 0)),"Bulunamadı"
)</f>
        <v>AN00043755</v>
      </c>
      <c r="J9" s="38" t="str">
        <f>IFERROR(INDEX('SATIN ALMA'!$T:$T, MATCH($F9, 'SATIN ALMA'!$R:$R, 0)),"Bulunamadı")</f>
        <v>MEDUHQ845800</v>
      </c>
      <c r="K9" s="38" t="str">
        <f>IFERROR(INDEX('SATIN ALMA'!$V:$V, MATCH($F9, 'SATIN ALMA'!$R:$R, 0)),"Bulunamadı"
)</f>
        <v>26009-IT26154013</v>
      </c>
      <c r="L9" s="38" t="str">
        <f>IFERROR(
  INDEX('SATIN ALMA'!$W:$W, MATCH($F9, 'SATIN ALMA'!$R:$R, 0)),
  "Bulunamadı"
)</f>
        <v>HD47812</v>
      </c>
    </row>
    <row r="10" spans="1:13" x14ac:dyDescent="0.2">
      <c r="A10" s="38" t="str">
        <f>IFERROR(HYPERLINK("#"&amp;ADDRESS(MATCH($F10,'SATIN ALMA'!$R:$R,0),COLUMN('SATIN ALMA'!$R:$R),1,1,"SATIN ALMA"),"Git →"),"Bulunamadı")</f>
        <v>Git →</v>
      </c>
      <c r="B10" s="37" t="str">
        <f>IFERROR(INDEX('SATIN ALMA'!$F:$F, MATCH($F10, 'SATIN ALMA'!$R:$R, 0)),"Bulunamadı")</f>
        <v>NGAN NGOC</v>
      </c>
      <c r="C10" s="37" t="str">
        <f>IFERROR(INDEX('SATIN ALMA'!$C:$C, MATCH($F10, 'SATIN ALMA'!$R:$R, 0)),"Bulunamadı"
)</f>
        <v>H5130003</v>
      </c>
      <c r="D10" s="63" t="str">
        <f>IFERROR(INDEX('SATIN ALMA'!$D:$D, MATCH($F10, 'SATIN ALMA'!$R:$R, 0)),"Bulunamadı"
)</f>
        <v>HW.CASHEW NUT W320____________( 22.68 KG )</v>
      </c>
      <c r="E10" s="40">
        <f>IFERROR(INDEX('SATIN ALMA'!$O:$O, MATCH($F10, 'SATIN ALMA'!$R:$R, 0)),"Bulunamadı"
)</f>
        <v>24948</v>
      </c>
      <c r="F10" s="143" t="s">
        <v>210</v>
      </c>
      <c r="G10" s="65" t="str">
        <f>IFERROR(INDEX('GİRİŞ ANALİZİ'!$D:$D, MATCH($F10, 'GİRİŞ ANALİZİ'!$C:$C, 0)),"Bulunamadı"
)</f>
        <v>Bulunamadı</v>
      </c>
      <c r="H10" s="65" t="str">
        <f>IFERROR(INDEX('GİRİŞ ANALİZİ'!$E:$E, MATCH($F10, 'GİRİŞ ANALİZİ'!$C:$C, 0)),"Bulunamadı"
)</f>
        <v>Bulunamadı</v>
      </c>
      <c r="I10" s="38" t="str">
        <f>IFERROR(INDEX('SATIN ALMA'!$S:$S, MATCH(F10, 'SATIN ALMA'!$R:$R, 0)),"Bulunamadı"
)</f>
        <v>AN00043760</v>
      </c>
      <c r="J10" s="38" t="str">
        <f>IFERROR(INDEX('SATIN ALMA'!$T:$T, MATCH($F10, 'SATIN ALMA'!$R:$R, 0)),"Bulunamadı")</f>
        <v>MEDUHQ845693</v>
      </c>
      <c r="K10" s="38" t="str">
        <f>IFERROR(INDEX('SATIN ALMA'!$V:$V, MATCH($F10, 'SATIN ALMA'!$R:$R, 0)),"Bulunamadı"
)</f>
        <v>26001-IT26154001</v>
      </c>
      <c r="L10" s="38" t="str">
        <f>IFERROR(
  INDEX('SATIN ALMA'!$W:$W, MATCH($F10, 'SATIN ALMA'!$R:$R, 0)),
  "Bulunamadı"
)</f>
        <v>HD46212-2</v>
      </c>
    </row>
    <row r="11" spans="1:13" x14ac:dyDescent="0.2">
      <c r="A11" s="38" t="str">
        <f>IFERROR(HYPERLINK("#"&amp;ADDRESS(MATCH($F11,'SATIN ALMA'!$R:$R,0),COLUMN('SATIN ALMA'!$R:$R),1,1,"SATIN ALMA"),"Git →"),"Bulunamadı")</f>
        <v>Bulunamadı</v>
      </c>
      <c r="B11" s="37" t="str">
        <f>IFERROR(INDEX('SATIN ALMA'!$F:$F, MATCH($F11, 'SATIN ALMA'!$R:$R, 0)),"Bulunamadı")</f>
        <v>Bulunamadı</v>
      </c>
      <c r="C11" s="37" t="str">
        <f>IFERROR(INDEX('SATIN ALMA'!$C:$C, MATCH($F11, 'SATIN ALMA'!$R:$R, 0)),"Bulunamadı"
)</f>
        <v>Bulunamadı</v>
      </c>
      <c r="D11" s="63" t="str">
        <f>IFERROR(INDEX('SATIN ALMA'!$D:$D, MATCH($F11, 'SATIN ALMA'!$R:$R, 0)),"Bulunamadı"
)</f>
        <v>Bulunamadı</v>
      </c>
      <c r="E11" s="40" t="str">
        <f>IFERROR(INDEX('SATIN ALMA'!$O:$O, MATCH($F11, 'SATIN ALMA'!$R:$R, 0)),"Bulunamadı"
)</f>
        <v>Bulunamadı</v>
      </c>
      <c r="F11" s="143"/>
      <c r="G11" s="65" t="str">
        <f>IFERROR(INDEX('GİRİŞ ANALİZİ'!$D:$D, MATCH($F11, 'GİRİŞ ANALİZİ'!$C:$C, 0)),"Bulunamadı"
)</f>
        <v>Bulunamadı</v>
      </c>
      <c r="H11" s="65" t="str">
        <f>IFERROR(INDEX('GİRİŞ ANALİZİ'!$E:$E, MATCH($F11, 'GİRİŞ ANALİZİ'!$C:$C, 0)),"Bulunamadı"
)</f>
        <v>Bulunamadı</v>
      </c>
      <c r="I11" s="38" t="str">
        <f>IFERROR(INDEX('SATIN ALMA'!$S:$S, MATCH(F11, 'SATIN ALMA'!$R:$R, 0)),"Bulunamadı"
)</f>
        <v>Bulunamadı</v>
      </c>
      <c r="J11" s="38" t="str">
        <f>IFERROR(INDEX('SATIN ALMA'!$T:$T, MATCH($F11, 'SATIN ALMA'!$R:$R, 0)),"Bulunamadı")</f>
        <v>Bulunamadı</v>
      </c>
      <c r="K11" s="38" t="str">
        <f>IFERROR(INDEX('SATIN ALMA'!$V:$V, MATCH($F11, 'SATIN ALMA'!$R:$R, 0)),"Bulunamadı"
)</f>
        <v>Bulunamadı</v>
      </c>
      <c r="L11" s="38" t="str">
        <f>IFERROR(
  INDEX('SATIN ALMA'!$W:$W, MATCH($F11, 'SATIN ALMA'!$R:$R, 0)),
  "Bulunamadı"
)</f>
        <v>Bulunamadı</v>
      </c>
    </row>
    <row r="12" spans="1:13" x14ac:dyDescent="0.2">
      <c r="A12" s="38" t="str">
        <f>IFERROR(HYPERLINK("#"&amp;ADDRESS(MATCH($F12,'SATIN ALMA'!$R:$R,0),COLUMN('SATIN ALMA'!$R:$R),1,1,"SATIN ALMA"),"Git →"),"Bulunamadı")</f>
        <v>Bulunamadı</v>
      </c>
      <c r="B12" s="37" t="str">
        <f>IFERROR(INDEX('SATIN ALMA'!$F:$F, MATCH($F12, 'SATIN ALMA'!$R:$R, 0)),"Bulunamadı")</f>
        <v>Bulunamadı</v>
      </c>
      <c r="C12" s="37" t="str">
        <f>IFERROR(INDEX('SATIN ALMA'!$C:$C, MATCH($F12, 'SATIN ALMA'!$R:$R, 0)),"Bulunamadı"
)</f>
        <v>Bulunamadı</v>
      </c>
      <c r="D12" s="63" t="str">
        <f>IFERROR(INDEX('SATIN ALMA'!$D:$D, MATCH($F12, 'SATIN ALMA'!$R:$R, 0)),"Bulunamadı"
)</f>
        <v>Bulunamadı</v>
      </c>
      <c r="E12" s="40" t="str">
        <f>IFERROR(INDEX('SATIN ALMA'!$O:$O, MATCH($F12, 'SATIN ALMA'!$R:$R, 0)),"Bulunamadı"
)</f>
        <v>Bulunamadı</v>
      </c>
      <c r="F12" s="143"/>
      <c r="G12" s="65" t="str">
        <f>IFERROR(INDEX('GİRİŞ ANALİZİ'!$D:$D, MATCH($F12, 'GİRİŞ ANALİZİ'!$C:$C, 0)),"Bulunamadı"
)</f>
        <v>Bulunamadı</v>
      </c>
      <c r="H12" s="65" t="str">
        <f>IFERROR(INDEX('GİRİŞ ANALİZİ'!$E:$E, MATCH($F12, 'GİRİŞ ANALİZİ'!$C:$C, 0)),"Bulunamadı"
)</f>
        <v>Bulunamadı</v>
      </c>
      <c r="I12" s="38" t="str">
        <f>IFERROR(INDEX('SATIN ALMA'!$S:$S, MATCH(F12, 'SATIN ALMA'!$R:$R, 0)),"Bulunamadı"
)</f>
        <v>Bulunamadı</v>
      </c>
      <c r="J12" s="38" t="str">
        <f>IFERROR(INDEX('SATIN ALMA'!$T:$T, MATCH($F12, 'SATIN ALMA'!$R:$R, 0)),"Bulunamadı")</f>
        <v>Bulunamadı</v>
      </c>
      <c r="K12" s="38" t="str">
        <f>IFERROR(INDEX('SATIN ALMA'!$V:$V, MATCH($F12, 'SATIN ALMA'!$R:$R, 0)),"Bulunamadı"
)</f>
        <v>Bulunamadı</v>
      </c>
      <c r="L12" s="38" t="str">
        <f>IFERROR(
  INDEX('SATIN ALMA'!$W:$W, MATCH($F12, 'SATIN ALMA'!$R:$R, 0)),
  "Bulunamadı"
)</f>
        <v>Bulunamadı</v>
      </c>
    </row>
    <row r="13" spans="1:13" x14ac:dyDescent="0.2">
      <c r="A13" s="38" t="str">
        <f>IFERROR(HYPERLINK("#"&amp;ADDRESS(MATCH($F13,'SATIN ALMA'!$R:$R,0),COLUMN('SATIN ALMA'!$R:$R),1,1,"SATIN ALMA"),"Git →"),"Bulunamadı")</f>
        <v>Bulunamadı</v>
      </c>
      <c r="B13" s="37" t="str">
        <f>IFERROR(INDEX('SATIN ALMA'!$F:$F, MATCH($F13, 'SATIN ALMA'!$R:$R, 0)),"Bulunamadı")</f>
        <v>Bulunamadı</v>
      </c>
      <c r="C13" s="37" t="str">
        <f>IFERROR(INDEX('SATIN ALMA'!$C:$C, MATCH($F13, 'SATIN ALMA'!$R:$R, 0)),"Bulunamadı"
)</f>
        <v>Bulunamadı</v>
      </c>
      <c r="D13" s="63" t="str">
        <f>IFERROR(INDEX('SATIN ALMA'!$D:$D, MATCH($F13, 'SATIN ALMA'!$R:$R, 0)),"Bulunamadı"
)</f>
        <v>Bulunamadı</v>
      </c>
      <c r="E13" s="40" t="str">
        <f>IFERROR(INDEX('SATIN ALMA'!$O:$O, MATCH($F13, 'SATIN ALMA'!$R:$R, 0)),"Bulunamadı"
)</f>
        <v>Bulunamadı</v>
      </c>
      <c r="F13" s="143"/>
      <c r="G13" s="65" t="str">
        <f>IFERROR(INDEX('GİRİŞ ANALİZİ'!$D:$D, MATCH($F13, 'GİRİŞ ANALİZİ'!$C:$C, 0)),"Bulunamadı"
)</f>
        <v>Bulunamadı</v>
      </c>
      <c r="H13" s="65" t="str">
        <f>IFERROR(INDEX('GİRİŞ ANALİZİ'!$E:$E, MATCH($F13, 'GİRİŞ ANALİZİ'!$C:$C, 0)),"Bulunamadı"
)</f>
        <v>Bulunamadı</v>
      </c>
      <c r="I13" s="38" t="str">
        <f>IFERROR(INDEX('SATIN ALMA'!$S:$S, MATCH(F13, 'SATIN ALMA'!$R:$R, 0)),"Bulunamadı"
)</f>
        <v>Bulunamadı</v>
      </c>
      <c r="J13" s="38" t="str">
        <f>IFERROR(INDEX('SATIN ALMA'!$T:$T, MATCH($F13, 'SATIN ALMA'!$R:$R, 0)),"Bulunamadı")</f>
        <v>Bulunamadı</v>
      </c>
      <c r="K13" s="38" t="str">
        <f>IFERROR(INDEX('SATIN ALMA'!$V:$V, MATCH($F13, 'SATIN ALMA'!$R:$R, 0)),"Bulunamadı"
)</f>
        <v>Bulunamadı</v>
      </c>
      <c r="L13" s="38" t="str">
        <f>IFERROR(
  INDEX('SATIN ALMA'!$W:$W, MATCH($F13, 'SATIN ALMA'!$R:$R, 0)),
  "Bulunamadı"
)</f>
        <v>Bulunamadı</v>
      </c>
    </row>
    <row r="14" spans="1:13" x14ac:dyDescent="0.2">
      <c r="A14" s="38" t="str">
        <f>IFERROR(HYPERLINK("#"&amp;ADDRESS(MATCH($F14,'SATIN ALMA'!$R:$R,0),COLUMN('SATIN ALMA'!$R:$R),1,1,"SATIN ALMA"),"Git →"),"Bulunamadı")</f>
        <v>Bulunamadı</v>
      </c>
      <c r="B14" s="37" t="str">
        <f>IFERROR(INDEX('SATIN ALMA'!$F:$F, MATCH($F14, 'SATIN ALMA'!$R:$R, 0)),"Bulunamadı")</f>
        <v>Bulunamadı</v>
      </c>
      <c r="C14" s="37" t="str">
        <f>IFERROR(INDEX('SATIN ALMA'!$C:$C, MATCH($F14, 'SATIN ALMA'!$R:$R, 0)),"Bulunamadı"
)</f>
        <v>Bulunamadı</v>
      </c>
      <c r="D14" s="63" t="str">
        <f>IFERROR(INDEX('SATIN ALMA'!$D:$D, MATCH($F14, 'SATIN ALMA'!$R:$R, 0)),"Bulunamadı"
)</f>
        <v>Bulunamadı</v>
      </c>
      <c r="E14" s="40" t="str">
        <f>IFERROR(INDEX('SATIN ALMA'!$O:$O, MATCH($F14, 'SATIN ALMA'!$R:$R, 0)),"Bulunamadı"
)</f>
        <v>Bulunamadı</v>
      </c>
      <c r="F14" s="143"/>
      <c r="G14" s="65" t="str">
        <f>IFERROR(INDEX('GİRİŞ ANALİZİ'!$D:$D, MATCH($F14, 'GİRİŞ ANALİZİ'!$C:$C, 0)),"Bulunamadı"
)</f>
        <v>Bulunamadı</v>
      </c>
      <c r="H14" s="65" t="str">
        <f>IFERROR(INDEX('GİRİŞ ANALİZİ'!$E:$E, MATCH($F14, 'GİRİŞ ANALİZİ'!$C:$C, 0)),"Bulunamadı"
)</f>
        <v>Bulunamadı</v>
      </c>
      <c r="I14" s="38" t="str">
        <f>IFERROR(INDEX('SATIN ALMA'!$S:$S, MATCH(F14, 'SATIN ALMA'!$R:$R, 0)),"Bulunamadı"
)</f>
        <v>Bulunamadı</v>
      </c>
      <c r="J14" s="38" t="str">
        <f>IFERROR(INDEX('SATIN ALMA'!$T:$T, MATCH($F14, 'SATIN ALMA'!$R:$R, 0)),"Bulunamadı")</f>
        <v>Bulunamadı</v>
      </c>
      <c r="K14" s="38" t="str">
        <f>IFERROR(INDEX('SATIN ALMA'!$V:$V, MATCH($F14, 'SATIN ALMA'!$R:$R, 0)),"Bulunamadı"
)</f>
        <v>Bulunamadı</v>
      </c>
      <c r="L14" s="38" t="str">
        <f>IFERROR(
  INDEX('SATIN ALMA'!$W:$W, MATCH($F14, 'SATIN ALMA'!$R:$R, 0)),
  "Bulunamadı"
)</f>
        <v>Bulunamadı</v>
      </c>
    </row>
    <row r="15" spans="1:13" x14ac:dyDescent="0.2">
      <c r="A15" s="38" t="str">
        <f>IFERROR(HYPERLINK("#"&amp;ADDRESS(MATCH($F15,'SATIN ALMA'!$R:$R,0),COLUMN('SATIN ALMA'!$R:$R),1,1,"SATIN ALMA"),"Git →"),"Bulunamadı")</f>
        <v>Bulunamadı</v>
      </c>
      <c r="B15" s="37" t="str">
        <f>IFERROR(INDEX('SATIN ALMA'!$F:$F, MATCH($F15, 'SATIN ALMA'!$R:$R, 0)),"Bulunamadı")</f>
        <v>Bulunamadı</v>
      </c>
      <c r="C15" s="37" t="str">
        <f>IFERROR(INDEX('SATIN ALMA'!$C:$C, MATCH($F15, 'SATIN ALMA'!$R:$R, 0)),"Bulunamadı"
)</f>
        <v>Bulunamadı</v>
      </c>
      <c r="D15" s="63" t="str">
        <f>IFERROR(INDEX('SATIN ALMA'!$D:$D, MATCH($F15, 'SATIN ALMA'!$R:$R, 0)),"Bulunamadı"
)</f>
        <v>Bulunamadı</v>
      </c>
      <c r="E15" s="40" t="str">
        <f>IFERROR(INDEX('SATIN ALMA'!$O:$O, MATCH($F15, 'SATIN ALMA'!$R:$R, 0)),"Bulunamadı"
)</f>
        <v>Bulunamadı</v>
      </c>
      <c r="F15" s="143"/>
      <c r="G15" s="65" t="str">
        <f>IFERROR(INDEX('GİRİŞ ANALİZİ'!$D:$D, MATCH($F15, 'GİRİŞ ANALİZİ'!$C:$C, 0)),"Bulunamadı"
)</f>
        <v>Bulunamadı</v>
      </c>
      <c r="H15" s="65" t="str">
        <f>IFERROR(INDEX('GİRİŞ ANALİZİ'!$E:$E, MATCH($F15, 'GİRİŞ ANALİZİ'!$C:$C, 0)),"Bulunamadı"
)</f>
        <v>Bulunamadı</v>
      </c>
      <c r="I15" s="38" t="str">
        <f>IFERROR(INDEX('SATIN ALMA'!$S:$S, MATCH(F15, 'SATIN ALMA'!$R:$R, 0)),"Bulunamadı"
)</f>
        <v>Bulunamadı</v>
      </c>
      <c r="J15" s="38" t="str">
        <f>IFERROR(INDEX('SATIN ALMA'!$T:$T, MATCH($F15, 'SATIN ALMA'!$R:$R, 0)),"Bulunamadı")</f>
        <v>Bulunamadı</v>
      </c>
      <c r="K15" s="38" t="str">
        <f>IFERROR(INDEX('SATIN ALMA'!$V:$V, MATCH($F15, 'SATIN ALMA'!$R:$R, 0)),"Bulunamadı"
)</f>
        <v>Bulunamadı</v>
      </c>
      <c r="L15" s="38" t="str">
        <f>IFERROR(
  INDEX('SATIN ALMA'!$W:$W, MATCH($F15, 'SATIN ALMA'!$R:$R, 0)),
  "Bulunamadı"
)</f>
        <v>Bulunamadı</v>
      </c>
    </row>
    <row r="16" spans="1:13" x14ac:dyDescent="0.2">
      <c r="A16" s="38"/>
      <c r="B16" s="37"/>
      <c r="C16" s="37"/>
      <c r="D16" s="63"/>
      <c r="E16" s="40"/>
      <c r="F16" s="63"/>
      <c r="G16" s="66"/>
      <c r="H16" s="38"/>
      <c r="I16" s="38"/>
      <c r="J16" s="38"/>
      <c r="K16" s="38"/>
      <c r="L16" s="38"/>
    </row>
    <row r="17" spans="1:12" x14ac:dyDescent="0.2">
      <c r="A17" s="38"/>
      <c r="B17" s="37"/>
      <c r="C17" s="37"/>
      <c r="D17" s="63"/>
      <c r="E17" s="40"/>
      <c r="F17" s="63"/>
      <c r="G17" s="66"/>
      <c r="H17" s="38"/>
      <c r="I17" s="38"/>
      <c r="J17" s="38"/>
      <c r="K17" s="38"/>
      <c r="L17" s="38"/>
    </row>
    <row r="18" spans="1:12" x14ac:dyDescent="0.2">
      <c r="A18" s="38"/>
      <c r="B18" s="37"/>
      <c r="C18" s="37"/>
      <c r="D18" s="63"/>
      <c r="E18" s="40"/>
      <c r="F18" s="63"/>
      <c r="G18" s="66"/>
      <c r="H18" s="38"/>
      <c r="I18" s="38"/>
      <c r="J18" s="38"/>
      <c r="K18" s="38"/>
      <c r="L18" s="38"/>
    </row>
    <row r="19" spans="1:12" x14ac:dyDescent="0.2">
      <c r="A19" s="38"/>
      <c r="B19" s="37"/>
      <c r="C19" s="37"/>
      <c r="D19" s="63"/>
      <c r="E19" s="40"/>
      <c r="F19" s="63"/>
      <c r="G19" s="66"/>
      <c r="H19" s="38"/>
      <c r="I19" s="38"/>
      <c r="J19" s="38"/>
      <c r="K19" s="38"/>
      <c r="L19" s="38"/>
    </row>
    <row r="20" spans="1:12" x14ac:dyDescent="0.2">
      <c r="A20" s="38"/>
      <c r="B20" s="37"/>
      <c r="C20" s="37"/>
      <c r="D20" s="63"/>
      <c r="E20" s="40"/>
      <c r="F20" s="63"/>
      <c r="G20" s="66"/>
      <c r="H20" s="38"/>
      <c r="I20" s="38"/>
      <c r="J20" s="38"/>
      <c r="K20" s="38"/>
      <c r="L20" s="38"/>
    </row>
    <row r="21" spans="1:12" x14ac:dyDescent="0.2">
      <c r="A21" s="38"/>
      <c r="B21" s="37"/>
      <c r="C21" s="38"/>
      <c r="D21" s="63"/>
      <c r="E21" s="40"/>
      <c r="F21" s="63"/>
      <c r="G21" s="66"/>
      <c r="H21" s="38"/>
      <c r="I21" s="38"/>
      <c r="J21" s="38" t="str">
        <f>IFERROR(
  INDEX('SATIN ALMA'!$T:$T, MATCH($F21, 'SATIN ALMA'!$R:$R, 0)),
  ""
)</f>
        <v/>
      </c>
      <c r="K21" s="38" t="str">
        <f>IFERROR(
  INDEX('SATIN ALMA'!$V:$V, MATCH($F21, 'SATIN ALMA'!$R:$R, 0)),
  ""
)</f>
        <v/>
      </c>
      <c r="L21" s="38" t="str">
        <f>IFERROR(
  INDEX('SATIN ALMA'!$W:$W, MATCH($F21, 'SATIN ALMA'!$R:$R, 0)),
  ""
)</f>
        <v/>
      </c>
    </row>
    <row r="22" spans="1:12" x14ac:dyDescent="0.2">
      <c r="A22" s="38"/>
      <c r="B22" s="37"/>
      <c r="C22" s="38"/>
      <c r="D22" s="63"/>
      <c r="E22" s="40"/>
      <c r="F22" s="63"/>
      <c r="G22" s="66"/>
      <c r="H22" s="38"/>
      <c r="I22" s="38"/>
      <c r="J22" s="38" t="str">
        <f>IFERROR(
  INDEX('SATIN ALMA'!$T:$T, MATCH($F22, 'SATIN ALMA'!$R:$R, 0)),
  ""
)</f>
        <v/>
      </c>
      <c r="K22" s="38" t="str">
        <f>IFERROR(
  INDEX('SATIN ALMA'!$V:$V, MATCH($F22, 'SATIN ALMA'!$R:$R, 0)),
  ""
)</f>
        <v/>
      </c>
      <c r="L22" s="38" t="str">
        <f>IFERROR(
  INDEX('SATIN ALMA'!$W:$W, MATCH($F22, 'SATIN ALMA'!$R:$R, 0)),
  ""
)</f>
        <v/>
      </c>
    </row>
    <row r="23" spans="1:12" x14ac:dyDescent="0.2">
      <c r="A23" s="38"/>
      <c r="B23" s="37"/>
      <c r="C23" s="38"/>
      <c r="D23" s="63"/>
      <c r="E23" s="40"/>
      <c r="F23" s="63"/>
      <c r="G23" s="66"/>
      <c r="H23" s="38"/>
      <c r="I23" s="38"/>
      <c r="J23" s="38" t="str">
        <f>IFERROR(
  INDEX('SATIN ALMA'!$T:$T, MATCH($F23, 'SATIN ALMA'!$R:$R, 0)),
  ""
)</f>
        <v/>
      </c>
      <c r="K23" s="38" t="str">
        <f>IFERROR(
  INDEX('SATIN ALMA'!$V:$V, MATCH($F23, 'SATIN ALMA'!$R:$R, 0)),
  ""
)</f>
        <v/>
      </c>
      <c r="L23" s="38" t="str">
        <f>IFERROR(
  INDEX('SATIN ALMA'!$W:$W, MATCH($F23, 'SATIN ALMA'!$R:$R, 0)),
  ""
)</f>
        <v/>
      </c>
    </row>
    <row r="24" spans="1:12" x14ac:dyDescent="0.2">
      <c r="A24" s="38"/>
      <c r="B24" s="37"/>
      <c r="C24" s="38"/>
      <c r="D24" s="63"/>
      <c r="E24" s="40"/>
      <c r="F24" s="63"/>
      <c r="G24" s="66"/>
      <c r="H24" s="38"/>
      <c r="I24" s="38"/>
      <c r="J24" s="38" t="str">
        <f>IFERROR(
  INDEX('SATIN ALMA'!$T:$T, MATCH($F24, 'SATIN ALMA'!$R:$R, 0)),
  ""
)</f>
        <v/>
      </c>
      <c r="K24" s="38" t="str">
        <f>IFERROR(
  INDEX('SATIN ALMA'!$V:$V, MATCH($F24, 'SATIN ALMA'!$R:$R, 0)),
  ""
)</f>
        <v/>
      </c>
      <c r="L24" s="38" t="str">
        <f>IFERROR(
  INDEX('SATIN ALMA'!$W:$W, MATCH($F24, 'SATIN ALMA'!$R:$R, 0)),
  ""
)</f>
        <v/>
      </c>
    </row>
    <row r="25" spans="1:12" x14ac:dyDescent="0.2">
      <c r="A25" s="38"/>
      <c r="B25" s="37"/>
      <c r="C25" s="38"/>
      <c r="D25" s="63"/>
      <c r="E25" s="40"/>
      <c r="F25" s="63"/>
      <c r="G25" s="66"/>
      <c r="H25" s="38"/>
      <c r="I25" s="38"/>
      <c r="J25" s="38" t="str">
        <f>IFERROR(
  INDEX('SATIN ALMA'!$T:$T, MATCH($F25, 'SATIN ALMA'!$R:$R, 0)),
  ""
)</f>
        <v/>
      </c>
      <c r="K25" s="38" t="str">
        <f>IFERROR(
  INDEX('SATIN ALMA'!$V:$V, MATCH($F25, 'SATIN ALMA'!$R:$R, 0)),
  ""
)</f>
        <v/>
      </c>
      <c r="L25" s="38" t="str">
        <f>IFERROR(
  INDEX('SATIN ALMA'!$W:$W, MATCH($F25, 'SATIN ALMA'!$R:$R, 0)),
  ""
)</f>
        <v/>
      </c>
    </row>
    <row r="26" spans="1:12" x14ac:dyDescent="0.2">
      <c r="A26" s="38"/>
      <c r="B26" s="37"/>
      <c r="C26" s="38"/>
      <c r="D26" s="63"/>
      <c r="E26" s="40"/>
      <c r="F26" s="63"/>
      <c r="G26" s="66"/>
      <c r="H26" s="38"/>
      <c r="I26" s="38"/>
      <c r="J26" s="38" t="str">
        <f>IFERROR(
  INDEX('SATIN ALMA'!$T:$T, MATCH($F26, 'SATIN ALMA'!$R:$R, 0)),
  ""
)</f>
        <v/>
      </c>
      <c r="K26" s="38" t="str">
        <f>IFERROR(
  INDEX('SATIN ALMA'!$V:$V, MATCH($F26, 'SATIN ALMA'!$R:$R, 0)),
  ""
)</f>
        <v/>
      </c>
      <c r="L26" s="38" t="str">
        <f>IFERROR(
  INDEX('SATIN ALMA'!$W:$W, MATCH($F26, 'SATIN ALMA'!$R:$R, 0)),
  ""
)</f>
        <v/>
      </c>
    </row>
    <row r="27" spans="1:12" x14ac:dyDescent="0.2">
      <c r="A27" s="38"/>
      <c r="B27" s="37"/>
      <c r="C27" s="38"/>
      <c r="D27" s="63"/>
      <c r="E27" s="40"/>
      <c r="F27" s="63"/>
      <c r="G27" s="66"/>
      <c r="H27" s="38"/>
      <c r="I27" s="38"/>
      <c r="J27" s="38" t="str">
        <f>IFERROR(
  INDEX('SATIN ALMA'!$T:$T, MATCH($F27, 'SATIN ALMA'!$R:$R, 0)),
  ""
)</f>
        <v/>
      </c>
      <c r="K27" s="38" t="str">
        <f>IFERROR(
  INDEX('SATIN ALMA'!$V:$V, MATCH($F27, 'SATIN ALMA'!$R:$R, 0)),
  ""
)</f>
        <v/>
      </c>
      <c r="L27" s="38" t="str">
        <f>IFERROR(
  INDEX('SATIN ALMA'!$W:$W, MATCH($F27, 'SATIN ALMA'!$R:$R, 0)),
  ""
)</f>
        <v/>
      </c>
    </row>
  </sheetData>
  <conditionalFormatting sqref="F7:F15">
    <cfRule type="expression" dxfId="76" priority="1">
      <formula>$AB7="Limanda"</formula>
    </cfRule>
    <cfRule type="expression" dxfId="75" priority="2">
      <formula>$AB7="Yüklenmedi"</formula>
    </cfRule>
    <cfRule type="expression" dxfId="74" priority="3">
      <formula>$AB7="Antrepoda"</formula>
    </cfRule>
    <cfRule type="expression" dxfId="73" priority="4">
      <formula>$AB7="Yolda"</formula>
    </cfRule>
    <cfRule type="expression" dxfId="72" priority="5">
      <formula>$AB7="İçeri Çekildi"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M350"/>
  <sheetViews>
    <sheetView topLeftCell="B1" workbookViewId="0">
      <pane ySplit="1" topLeftCell="A2" activePane="bottomLeft" state="frozen"/>
      <selection pane="bottomLeft" activeCell="I6" sqref="I6"/>
    </sheetView>
  </sheetViews>
  <sheetFormatPr defaultRowHeight="12.75" x14ac:dyDescent="0.2"/>
  <cols>
    <col min="1" max="1" width="9.28515625" bestFit="1" customWidth="1"/>
    <col min="2" max="2" width="10.7109375" bestFit="1" customWidth="1"/>
    <col min="3" max="3" width="10.7109375" customWidth="1"/>
    <col min="4" max="4" width="11.5703125" bestFit="1" customWidth="1"/>
    <col min="5" max="5" width="39.85546875" bestFit="1" customWidth="1"/>
    <col min="6" max="6" width="9.28515625" bestFit="1" customWidth="1"/>
    <col min="7" max="7" width="9" style="41" bestFit="1" customWidth="1"/>
    <col min="8" max="8" width="14.28515625" customWidth="1"/>
    <col min="9" max="9" width="11.140625" bestFit="1" customWidth="1"/>
    <col min="10" max="10" width="5.7109375" style="72" bestFit="1" customWidth="1"/>
    <col min="11" max="11" width="17.42578125" customWidth="1"/>
    <col min="12" max="12" width="16.140625" bestFit="1" customWidth="1"/>
    <col min="13" max="13" width="10.42578125" bestFit="1" customWidth="1"/>
  </cols>
  <sheetData>
    <row r="1" spans="1:13" ht="25.5" customHeight="1" x14ac:dyDescent="0.2">
      <c r="A1" s="96" t="s">
        <v>160</v>
      </c>
      <c r="B1" s="15" t="s">
        <v>157</v>
      </c>
      <c r="C1" s="15" t="s">
        <v>156</v>
      </c>
      <c r="D1" s="15" t="s">
        <v>151</v>
      </c>
      <c r="E1" s="15" t="s">
        <v>152</v>
      </c>
      <c r="F1" s="15" t="s">
        <v>314</v>
      </c>
      <c r="G1" s="39" t="s">
        <v>153</v>
      </c>
      <c r="H1" s="88" t="s">
        <v>95</v>
      </c>
      <c r="I1" s="15" t="s">
        <v>154</v>
      </c>
      <c r="J1" s="90" t="s">
        <v>244</v>
      </c>
      <c r="K1" s="15" t="s">
        <v>10</v>
      </c>
      <c r="L1" s="15" t="s">
        <v>155</v>
      </c>
      <c r="M1" s="15" t="s">
        <v>158</v>
      </c>
    </row>
    <row r="2" spans="1:13" x14ac:dyDescent="0.2">
      <c r="A2" s="38" t="str">
        <f>IFERROR(HYPERLINK("#"&amp;ADDRESS(MATCH($H2,'SATIN ALMA'!$R:$R,0),COLUMN('SATIN ALMA'!$R:$R),1,1,"SATIN ALMA"),"Git →"),"Bulunamadı")</f>
        <v>Git →</v>
      </c>
      <c r="B2" s="38" t="str">
        <f>IFERROR(INDEX('SATIN ALMA'!$F:$F, MATCH($H2, 'SATIN ALMA'!$R:$R, 0)),"Bulunamadı")</f>
        <v>LIEN VIET</v>
      </c>
      <c r="C2" s="38" t="str">
        <f>IFERROR(INDEX('SATIN ALMA'!$W:$W, MATCH($H2, 'SATIN ALMA'!$R:$R, 0)),"Bulunamadı")</f>
        <v>HD29412-2</v>
      </c>
      <c r="D2" s="38" t="str">
        <f>IFERROR(INDEX('SATIN ALMA'!$C:$C, MATCH($H2, 'SATIN ALMA'!$R:$R, 0)),"Bulunamadı")</f>
        <v>H5130003</v>
      </c>
      <c r="E2" s="38" t="str">
        <f>IFERROR(INDEX('SATIN ALMA'!$D:$D, MATCH($H2, 'SATIN ALMA'!$R:$R, 0)),"Bulunamadı")</f>
        <v>HW.CASHEW NUT W320____________( 22.68 KG )</v>
      </c>
      <c r="F2" s="38">
        <v>2024</v>
      </c>
      <c r="G2" s="89">
        <v>3606.12</v>
      </c>
      <c r="H2" s="38" t="str">
        <f>IFERROR(INDEX('SATIN ALMA'!$R:$R, MATCH($J2, 'SATIN ALMA'!$X:$X, 0)),"Bulunamadı"
)</f>
        <v>MSBU4022649</v>
      </c>
      <c r="I2" s="38"/>
      <c r="J2" s="45">
        <v>30</v>
      </c>
      <c r="K2" s="38" t="str">
        <f>IFERROR(INDEX('SATIN ALMA'!$T:$T, MATCH($H2, 'SATIN ALMA'!$R:$R, 0)),"Bulunamadı")</f>
        <v>MEDUHQ575332</v>
      </c>
      <c r="L2" s="38" t="str">
        <f>IFERROR(INDEX('SATIN ALMA'!$V:$V, MATCH($H2, 'SATIN ALMA'!$R:$R, 0)),"Bulunamadı")</f>
        <v>25261-IT25154191</v>
      </c>
      <c r="M2" s="38">
        <v>481735</v>
      </c>
    </row>
    <row r="3" spans="1:13" x14ac:dyDescent="0.2">
      <c r="A3" s="38" t="str">
        <f>IFERROR(HYPERLINK("#"&amp;ADDRESS(MATCH($H3,'SATIN ALMA'!$R:$R,0),COLUMN('SATIN ALMA'!$R:$R),1,1,"SATIN ALMA"),"Git →"),"Bulunamadı")</f>
        <v>Git →</v>
      </c>
      <c r="B3" s="38" t="str">
        <f>IFERROR(INDEX('SATIN ALMA'!$F:$F, MATCH($H3, 'SATIN ALMA'!$R:$R, 0)),"Bulunamadı")</f>
        <v>LIEN VIET</v>
      </c>
      <c r="C3" s="38" t="str">
        <f>IFERROR(INDEX('SATIN ALMA'!$W:$W, MATCH($H3, 'SATIN ALMA'!$R:$R, 0)),"Bulunamadı")</f>
        <v>HD29412-5</v>
      </c>
      <c r="D3" s="38" t="str">
        <f>IFERROR(INDEX('SATIN ALMA'!$C:$C, MATCH($H3, 'SATIN ALMA'!$R:$R, 0)),"Bulunamadı")</f>
        <v>H5130003</v>
      </c>
      <c r="E3" s="38" t="str">
        <f>IFERROR(INDEX('SATIN ALMA'!$D:$D, MATCH($H3, 'SATIN ALMA'!$R:$R, 0)),"Bulunamadı")</f>
        <v>HW.CASHEW NUT W320____________( 22.68 KG )</v>
      </c>
      <c r="F3" s="38">
        <v>2024</v>
      </c>
      <c r="G3" s="89">
        <v>24267.599999999999</v>
      </c>
      <c r="H3" s="38" t="str">
        <f>IFERROR(INDEX('SATIN ALMA'!$R:$R, MATCH($J3, 'SATIN ALMA'!$X:$X, 0)),"Bulunamadı"
)</f>
        <v>GAOU7622115</v>
      </c>
      <c r="I3" s="38"/>
      <c r="J3" s="45">
        <v>31</v>
      </c>
      <c r="K3" s="38" t="str">
        <f>IFERROR(INDEX('SATIN ALMA'!$T:$T, MATCH($H3, 'SATIN ALMA'!$R:$R, 0)),"Bulunamadı")</f>
        <v>MEDUHQ721324</v>
      </c>
      <c r="L3" s="38" t="str">
        <f>IFERROR(INDEX('SATIN ALMA'!$V:$V, MATCH($H3, 'SATIN ALMA'!$R:$R, 0)),"Bulunamadı")</f>
        <v>25261-IT25154191</v>
      </c>
      <c r="M3" s="38">
        <v>495565</v>
      </c>
    </row>
    <row r="4" spans="1:13" x14ac:dyDescent="0.2">
      <c r="A4" s="38" t="str">
        <f>IFERROR(HYPERLINK("#"&amp;ADDRESS(MATCH($H4,'SATIN ALMA'!$R:$R,0),COLUMN('SATIN ALMA'!$R:$R),1,1,"SATIN ALMA"),"Git →"),"Bulunamadı")</f>
        <v>Git →</v>
      </c>
      <c r="B4" s="38" t="str">
        <f>IFERROR(INDEX('SATIN ALMA'!$F:$F, MATCH($H4, 'SATIN ALMA'!$R:$R, 0)),"Bulunamadı")</f>
        <v>LIEN VIET</v>
      </c>
      <c r="C4" s="38" t="str">
        <f>IFERROR(INDEX('SATIN ALMA'!$W:$W, MATCH($H4, 'SATIN ALMA'!$R:$R, 0)),"Bulunamadı")</f>
        <v>HD29412-4</v>
      </c>
      <c r="D4" s="38" t="str">
        <f>IFERROR(INDEX('SATIN ALMA'!$C:$C, MATCH($H4, 'SATIN ALMA'!$R:$R, 0)),"Bulunamadı")</f>
        <v>H5130003</v>
      </c>
      <c r="E4" s="38" t="str">
        <f>IFERROR(INDEX('SATIN ALMA'!$D:$D, MATCH($H4, 'SATIN ALMA'!$R:$R, 0)),"Bulunamadı")</f>
        <v>HW.CASHEW NUT W320____________( 22.68 KG )</v>
      </c>
      <c r="F4" s="38">
        <v>2025</v>
      </c>
      <c r="G4" s="89">
        <v>24267.599999999999</v>
      </c>
      <c r="H4" s="38" t="str">
        <f>IFERROR(INDEX('SATIN ALMA'!$R:$R, MATCH($J4, 'SATIN ALMA'!$X:$X, 0)),"Bulunamadı"
)</f>
        <v>TXGU7262063</v>
      </c>
      <c r="I4" s="38" t="str">
        <f>IFERROR(INDEX('SATIN ALMA'!$S:$S, MATCH($J4, 'SATIN ALMA'!$X:$X, 0)),"Bulunamadı"
)</f>
        <v>AN00039126</v>
      </c>
      <c r="J4" s="45">
        <v>32</v>
      </c>
      <c r="K4" s="38" t="str">
        <f>IFERROR(INDEX('SATIN ALMA'!$T:$T, MATCH($H4, 'SATIN ALMA'!$R:$R, 0)),"Bulunamadı")</f>
        <v>MEDUHQ721324</v>
      </c>
      <c r="L4" s="38" t="str">
        <f>IFERROR(INDEX('SATIN ALMA'!$V:$V, MATCH($H4, 'SATIN ALMA'!$R:$R, 0)),"Bulunamadı")</f>
        <v>25261-IT25154191</v>
      </c>
      <c r="M4" s="38">
        <f>IFERROR(INDEX('GİRİŞ ANALİZİ'!$E:$E, MATCH($H4, 'GİRİŞ ANALİZİ'!$C:$C, 0)),"Bulunamadı")</f>
        <v>0</v>
      </c>
    </row>
    <row r="5" spans="1:13" x14ac:dyDescent="0.2">
      <c r="A5" s="38" t="str">
        <f>IFERROR(HYPERLINK("#"&amp;ADDRESS(MATCH($H5,'SATIN ALMA'!$R:$R,0),COLUMN('SATIN ALMA'!$R:$R),1,1,"SATIN ALMA"),"Git →"),"Bulunamadı")</f>
        <v>Git →</v>
      </c>
      <c r="B5" s="38" t="str">
        <f>IFERROR(INDEX('SATIN ALMA'!$F:$F, MATCH($H5, 'SATIN ALMA'!$R:$R, 0)),"Bulunamadı")</f>
        <v>LIEN VIET</v>
      </c>
      <c r="C5" s="38" t="str">
        <f>IFERROR(INDEX('SATIN ALMA'!$W:$W, MATCH($H5, 'SATIN ALMA'!$R:$R, 0)),"Bulunamadı")</f>
        <v>HD29412-6</v>
      </c>
      <c r="D5" s="38" t="str">
        <f>IFERROR(INDEX('SATIN ALMA'!$C:$C, MATCH($H5, 'SATIN ALMA'!$R:$R, 0)),"Bulunamadı")</f>
        <v>H5130003</v>
      </c>
      <c r="E5" s="38" t="str">
        <f>IFERROR(INDEX('SATIN ALMA'!$D:$D, MATCH($H5, 'SATIN ALMA'!$R:$R, 0)),"Bulunamadı")</f>
        <v>HW.CASHEW NUT W320____________( 22.68 KG )</v>
      </c>
      <c r="F5" s="38">
        <v>2025</v>
      </c>
      <c r="G5" s="89">
        <v>7938</v>
      </c>
      <c r="H5" s="38" t="str">
        <f>IFERROR(INDEX('SATIN ALMA'!$R:$R, MATCH($J5, 'SATIN ALMA'!$X:$X, 0)),"Bulunamadı"
)</f>
        <v>MSDU7330895</v>
      </c>
      <c r="I5" s="38" t="str">
        <f>IFERROR(INDEX('SATIN ALMA'!$S:$S, MATCH($J5, 'SATIN ALMA'!$X:$X, 0)),"Bulunamadı"
)</f>
        <v>AN0003984</v>
      </c>
      <c r="J5" s="45">
        <v>34</v>
      </c>
      <c r="K5" s="38" t="str">
        <f>IFERROR(INDEX('SATIN ALMA'!$T:$T, MATCH($H5, 'SATIN ALMA'!$R:$R, 0)),"Bulunamadı")</f>
        <v>MEDUHQ769349</v>
      </c>
      <c r="L5" s="38" t="str">
        <f>IFERROR(INDEX('SATIN ALMA'!$V:$V, MATCH($H5, 'SATIN ALMA'!$R:$R, 0)),"Bulunamadı")</f>
        <v>25261-IT25154191</v>
      </c>
      <c r="M5" s="38">
        <f>IFERROR(INDEX('GİRİŞ ANALİZİ'!$E:$E, MATCH($H5, 'GİRİŞ ANALİZİ'!$C:$C, 0)),"Bulunamadı")</f>
        <v>508410</v>
      </c>
    </row>
    <row r="6" spans="1:13" x14ac:dyDescent="0.2">
      <c r="A6" s="38" t="str">
        <f>IFERROR(HYPERLINK("#"&amp;ADDRESS(MATCH($H6,'SATIN ALMA'!$R:$R,0),COLUMN('SATIN ALMA'!$R:$R),1,1,"SATIN ALMA"),"Git →"),"Bulunamadı")</f>
        <v>Git →</v>
      </c>
      <c r="B6" s="38" t="str">
        <f>IFERROR(INDEX('SATIN ALMA'!$F:$F, MATCH($H6, 'SATIN ALMA'!$R:$R, 0)),"Bulunamadı")</f>
        <v>NGAN NGOC</v>
      </c>
      <c r="C6" s="38" t="str">
        <f>IFERROR(INDEX('SATIN ALMA'!$W:$W, MATCH($H6, 'SATIN ALMA'!$R:$R, 0)),"Bulunamadı")</f>
        <v>HD46212-1</v>
      </c>
      <c r="D6" s="38" t="str">
        <f>IFERROR(INDEX('SATIN ALMA'!$C:$C, MATCH($H6, 'SATIN ALMA'!$R:$R, 0)),"Bulunamadı")</f>
        <v>H5130003</v>
      </c>
      <c r="E6" s="38" t="str">
        <f>IFERROR(INDEX('SATIN ALMA'!$D:$D, MATCH($H6, 'SATIN ALMA'!$R:$R, 0)),"Bulunamadı")</f>
        <v>HW.CASHEW NUT W320____________( 22.68 KG )</v>
      </c>
      <c r="F6" s="38">
        <v>2024</v>
      </c>
      <c r="G6" s="89">
        <v>24267.599999999999</v>
      </c>
      <c r="H6" s="38" t="str">
        <f>IFERROR(INDEX('SATIN ALMA'!$R:$R, MATCH($J6, 'SATIN ALMA'!$X:$X, 0)),"Bulunamadı"
)</f>
        <v>MSDU4075939</v>
      </c>
      <c r="I6" s="38"/>
      <c r="J6" s="45">
        <v>35</v>
      </c>
      <c r="K6" s="38" t="str">
        <f>IFERROR(INDEX('SATIN ALMA'!$T:$T, MATCH($H6, 'SATIN ALMA'!$R:$R, 0)),"Bulunamadı")</f>
        <v>MEDUHQ833079</v>
      </c>
      <c r="L6" s="38" t="str">
        <f>IFERROR(INDEX('SATIN ALMA'!$V:$V, MATCH($H6, 'SATIN ALMA'!$R:$R, 0)),"Bulunamadı")</f>
        <v>26001-IT26154001</v>
      </c>
      <c r="M6" s="38">
        <v>493152</v>
      </c>
    </row>
    <row r="7" spans="1:13" x14ac:dyDescent="0.2">
      <c r="A7" s="38" t="str">
        <f>IFERROR(HYPERLINK("#"&amp;ADDRESS(MATCH($H7,'SATIN ALMA'!$R:$R,0),COLUMN('SATIN ALMA'!$R:$R),1,1,"SATIN ALMA"),"Git →"),"Bulunamadı")</f>
        <v>Bulunamadı</v>
      </c>
      <c r="B7" s="38" t="str">
        <f>IFERROR(INDEX('SATIN ALMA'!$F:$F, MATCH($H7, 'SATIN ALMA'!$R:$R, 0)),"Bulunamadı")</f>
        <v>Bulunamadı</v>
      </c>
      <c r="C7" s="38" t="str">
        <f>IFERROR(INDEX('SATIN ALMA'!$W:$W, MATCH($H7, 'SATIN ALMA'!$R:$R, 0)),"Bulunamadı")</f>
        <v>Bulunamadı</v>
      </c>
      <c r="D7" s="38" t="str">
        <f>IFERROR(INDEX('SATIN ALMA'!$C:$C, MATCH($H7, 'SATIN ALMA'!$R:$R, 0)),"Bulunamadı")</f>
        <v>Bulunamadı</v>
      </c>
      <c r="E7" s="38" t="str">
        <f>IFERROR(INDEX('SATIN ALMA'!$D:$D, MATCH($H7, 'SATIN ALMA'!$R:$R, 0)),"Bulunamadı")</f>
        <v>Bulunamadı</v>
      </c>
      <c r="F7" s="38">
        <v>2025</v>
      </c>
      <c r="G7" s="89"/>
      <c r="H7" s="38" t="str">
        <f>IFERROR(INDEX('SATIN ALMA'!$R:$R, MATCH($J7, 'SATIN ALMA'!$X:$X, 0)),"Bulunamadı"
)</f>
        <v>Bulunamadı</v>
      </c>
      <c r="I7" s="38" t="str">
        <f>IFERROR(INDEX('SATIN ALMA'!$S:$S, MATCH($J7, 'SATIN ALMA'!$X:$X, 0)),"Bulunamadı"
)</f>
        <v>Bulunamadı</v>
      </c>
      <c r="J7" s="45"/>
      <c r="K7" s="38" t="str">
        <f>IFERROR(INDEX('SATIN ALMA'!$T:$T, MATCH($H7, 'SATIN ALMA'!$R:$R, 0)),"Bulunamadı")</f>
        <v>Bulunamadı</v>
      </c>
      <c r="L7" s="38" t="str">
        <f>IFERROR(INDEX('SATIN ALMA'!$V:$V, MATCH($H7, 'SATIN ALMA'!$R:$R, 0)),"Bulunamadı")</f>
        <v>Bulunamadı</v>
      </c>
      <c r="M7" s="38" t="str">
        <f>IFERROR(INDEX('GİRİŞ ANALİZİ'!$E:$E, MATCH($H7, 'GİRİŞ ANALİZİ'!$C:$C, 0)),"Bulunamadı")</f>
        <v>Bulunamadı</v>
      </c>
    </row>
    <row r="8" spans="1:13" x14ac:dyDescent="0.2">
      <c r="A8" s="38" t="str">
        <f>IFERROR(HYPERLINK("#"&amp;ADDRESS(MATCH($H8,'SATIN ALMA'!$R:$R,0),COLUMN('SATIN ALMA'!$R:$R),1,1,"SATIN ALMA"),"Git →"),"Bulunamadı")</f>
        <v>Bulunamadı</v>
      </c>
      <c r="B8" s="38" t="str">
        <f>IFERROR(INDEX('SATIN ALMA'!$F:$F, MATCH($H8, 'SATIN ALMA'!$R:$R, 0)),"Bulunamadı")</f>
        <v>Bulunamadı</v>
      </c>
      <c r="C8" s="38" t="str">
        <f>IFERROR(INDEX('SATIN ALMA'!$W:$W, MATCH($H8, 'SATIN ALMA'!$R:$R, 0)),"Bulunamadı")</f>
        <v>Bulunamadı</v>
      </c>
      <c r="D8" s="38" t="str">
        <f>IFERROR(INDEX('SATIN ALMA'!$C:$C, MATCH($H8, 'SATIN ALMA'!$R:$R, 0)),"Bulunamadı")</f>
        <v>Bulunamadı</v>
      </c>
      <c r="E8" s="38" t="str">
        <f>IFERROR(INDEX('SATIN ALMA'!$D:$D, MATCH($H8, 'SATIN ALMA'!$R:$R, 0)),"Bulunamadı")</f>
        <v>Bulunamadı</v>
      </c>
      <c r="F8" s="38">
        <v>2025</v>
      </c>
      <c r="G8" s="89"/>
      <c r="H8" s="38" t="str">
        <f>IFERROR(INDEX('SATIN ALMA'!$R:$R, MATCH($J8, 'SATIN ALMA'!$X:$X, 0)),"Bulunamadı"
)</f>
        <v>Bulunamadı</v>
      </c>
      <c r="I8" s="38" t="str">
        <f>IFERROR(INDEX('SATIN ALMA'!$S:$S, MATCH($J8, 'SATIN ALMA'!$X:$X, 0)),"Bulunamadı"
)</f>
        <v>Bulunamadı</v>
      </c>
      <c r="J8" s="45"/>
      <c r="K8" s="38" t="str">
        <f>IFERROR(INDEX('SATIN ALMA'!$T:$T, MATCH($H8, 'SATIN ALMA'!$R:$R, 0)),"Bulunamadı")</f>
        <v>Bulunamadı</v>
      </c>
      <c r="L8" s="38" t="str">
        <f>IFERROR(INDEX('SATIN ALMA'!$V:$V, MATCH($H8, 'SATIN ALMA'!$R:$R, 0)),"Bulunamadı")</f>
        <v>Bulunamadı</v>
      </c>
      <c r="M8" s="38" t="str">
        <f>IFERROR(INDEX('GİRİŞ ANALİZİ'!$E:$E, MATCH($H8, 'GİRİŞ ANALİZİ'!$C:$C, 0)),"Bulunamadı")</f>
        <v>Bulunamadı</v>
      </c>
    </row>
    <row r="9" spans="1:13" x14ac:dyDescent="0.2">
      <c r="A9" s="38" t="str">
        <f>IFERROR(HYPERLINK("#"&amp;ADDRESS(MATCH($H9,'SATIN ALMA'!$R:$R,0),COLUMN('SATIN ALMA'!$R:$R),1,1,"SATIN ALMA"),"Git →"),"Bulunamadı")</f>
        <v>Bulunamadı</v>
      </c>
      <c r="B9" s="38" t="str">
        <f>IFERROR(INDEX('SATIN ALMA'!$F:$F, MATCH($H9, 'SATIN ALMA'!$R:$R, 0)),"Bulunamadı")</f>
        <v>Bulunamadı</v>
      </c>
      <c r="C9" s="38" t="str">
        <f>IFERROR(INDEX('SATIN ALMA'!$W:$W, MATCH($H9, 'SATIN ALMA'!$R:$R, 0)),"Bulunamadı")</f>
        <v>Bulunamadı</v>
      </c>
      <c r="D9" s="38" t="str">
        <f>IFERROR(INDEX('SATIN ALMA'!$C:$C, MATCH($H9, 'SATIN ALMA'!$R:$R, 0)),"Bulunamadı")</f>
        <v>Bulunamadı</v>
      </c>
      <c r="E9" s="38" t="str">
        <f>IFERROR(INDEX('SATIN ALMA'!$D:$D, MATCH($H9, 'SATIN ALMA'!$R:$R, 0)),"Bulunamadı")</f>
        <v>Bulunamadı</v>
      </c>
      <c r="F9" s="38">
        <v>2025</v>
      </c>
      <c r="G9" s="89"/>
      <c r="H9" s="38" t="str">
        <f>IFERROR(INDEX('SATIN ALMA'!$R:$R, MATCH($J9, 'SATIN ALMA'!$X:$X, 0)),"Bulunamadı"
)</f>
        <v>Bulunamadı</v>
      </c>
      <c r="I9" s="38" t="str">
        <f>IFERROR(INDEX('SATIN ALMA'!$S:$S, MATCH($J9, 'SATIN ALMA'!$X:$X, 0)),"Bulunamadı"
)</f>
        <v>Bulunamadı</v>
      </c>
      <c r="J9" s="45"/>
      <c r="K9" s="38" t="str">
        <f>IFERROR(INDEX('SATIN ALMA'!$T:$T, MATCH($H9, 'SATIN ALMA'!$R:$R, 0)),"Bulunamadı")</f>
        <v>Bulunamadı</v>
      </c>
      <c r="L9" s="38" t="str">
        <f>IFERROR(INDEX('SATIN ALMA'!$V:$V, MATCH($H9, 'SATIN ALMA'!$R:$R, 0)),"Bulunamadı")</f>
        <v>Bulunamadı</v>
      </c>
      <c r="M9" s="38" t="str">
        <f>IFERROR(INDEX('GİRİŞ ANALİZİ'!$E:$E, MATCH($H9, 'GİRİŞ ANALİZİ'!$C:$C, 0)),"Bulunamadı")</f>
        <v>Bulunamadı</v>
      </c>
    </row>
    <row r="10" spans="1:13" x14ac:dyDescent="0.2">
      <c r="A10" s="38" t="str">
        <f>IFERROR(HYPERLINK("#"&amp;ADDRESS(MATCH($H10,'SATIN ALMA'!$R:$R,0),COLUMN('SATIN ALMA'!$R:$R),1,1,"SATIN ALMA"),"Git →"),"Bulunamadı")</f>
        <v>Bulunamadı</v>
      </c>
      <c r="B10" s="38" t="str">
        <f>IFERROR(INDEX('SATIN ALMA'!$F:$F, MATCH($H10, 'SATIN ALMA'!$R:$R, 0)),"Bulunamadı")</f>
        <v>Bulunamadı</v>
      </c>
      <c r="C10" s="38" t="str">
        <f>IFERROR(INDEX('SATIN ALMA'!$W:$W, MATCH($H10, 'SATIN ALMA'!$R:$R, 0)),"Bulunamadı")</f>
        <v>Bulunamadı</v>
      </c>
      <c r="D10" s="38" t="str">
        <f>IFERROR(INDEX('SATIN ALMA'!$C:$C, MATCH($H10, 'SATIN ALMA'!$R:$R, 0)),"Bulunamadı")</f>
        <v>Bulunamadı</v>
      </c>
      <c r="E10" s="38" t="str">
        <f>IFERROR(INDEX('SATIN ALMA'!$D:$D, MATCH($H10, 'SATIN ALMA'!$R:$R, 0)),"Bulunamadı")</f>
        <v>Bulunamadı</v>
      </c>
      <c r="F10" s="38">
        <v>2025</v>
      </c>
      <c r="G10" s="89"/>
      <c r="H10" s="38" t="str">
        <f>IFERROR(INDEX('SATIN ALMA'!$R:$R, MATCH($J10, 'SATIN ALMA'!$X:$X, 0)),"Bulunamadı"
)</f>
        <v>Bulunamadı</v>
      </c>
      <c r="I10" s="38" t="str">
        <f>IFERROR(INDEX('SATIN ALMA'!$S:$S, MATCH($J10, 'SATIN ALMA'!$X:$X, 0)),"Bulunamadı"
)</f>
        <v>Bulunamadı</v>
      </c>
      <c r="J10" s="45"/>
      <c r="K10" s="38" t="str">
        <f>IFERROR(INDEX('SATIN ALMA'!$T:$T, MATCH($H10, 'SATIN ALMA'!$R:$R, 0)),"Bulunamadı")</f>
        <v>Bulunamadı</v>
      </c>
      <c r="L10" s="38" t="str">
        <f>IFERROR(INDEX('SATIN ALMA'!$V:$V, MATCH($H10, 'SATIN ALMA'!$R:$R, 0)),"Bulunamadı")</f>
        <v>Bulunamadı</v>
      </c>
      <c r="M10" s="38" t="str">
        <f>IFERROR(INDEX('GİRİŞ ANALİZİ'!$E:$E, MATCH($H10, 'GİRİŞ ANALİZİ'!$C:$C, 0)),"Bulunamadı")</f>
        <v>Bulunamadı</v>
      </c>
    </row>
    <row r="11" spans="1:13" x14ac:dyDescent="0.2">
      <c r="A11" s="38" t="str">
        <f>IFERROR(HYPERLINK("#"&amp;ADDRESS(MATCH($H11,'SATIN ALMA'!$R:$R,0),COLUMN('SATIN ALMA'!$R:$R),1,1,"SATIN ALMA"),"Git →"),"Bulunamadı")</f>
        <v>Bulunamadı</v>
      </c>
      <c r="B11" s="38" t="str">
        <f>IFERROR(INDEX('SATIN ALMA'!$F:$F, MATCH($H11, 'SATIN ALMA'!$R:$R, 0)),"Bulunamadı")</f>
        <v>Bulunamadı</v>
      </c>
      <c r="C11" s="38" t="str">
        <f>IFERROR(INDEX('SATIN ALMA'!$W:$W, MATCH($H11, 'SATIN ALMA'!$R:$R, 0)),"Bulunamadı")</f>
        <v>Bulunamadı</v>
      </c>
      <c r="D11" s="38" t="str">
        <f>IFERROR(INDEX('SATIN ALMA'!$C:$C, MATCH($H11, 'SATIN ALMA'!$R:$R, 0)),"Bulunamadı")</f>
        <v>Bulunamadı</v>
      </c>
      <c r="E11" s="38" t="str">
        <f>IFERROR(INDEX('SATIN ALMA'!$D:$D, MATCH($H11, 'SATIN ALMA'!$R:$R, 0)),"Bulunamadı")</f>
        <v>Bulunamadı</v>
      </c>
      <c r="F11" s="38">
        <v>2025</v>
      </c>
      <c r="G11" s="89"/>
      <c r="H11" s="38" t="str">
        <f>IFERROR(INDEX('SATIN ALMA'!$R:$R, MATCH($J11, 'SATIN ALMA'!$X:$X, 0)),"Bulunamadı"
)</f>
        <v>Bulunamadı</v>
      </c>
      <c r="I11" s="38" t="str">
        <f>IFERROR(INDEX('SATIN ALMA'!$S:$S, MATCH($J11, 'SATIN ALMA'!$X:$X, 0)),"Bulunamadı"
)</f>
        <v>Bulunamadı</v>
      </c>
      <c r="J11" s="45"/>
      <c r="K11" s="38" t="str">
        <f>IFERROR(INDEX('SATIN ALMA'!$T:$T, MATCH($H11, 'SATIN ALMA'!$R:$R, 0)),"Bulunamadı")</f>
        <v>Bulunamadı</v>
      </c>
      <c r="L11" s="38" t="str">
        <f>IFERROR(INDEX('SATIN ALMA'!$V:$V, MATCH($H11, 'SATIN ALMA'!$R:$R, 0)),"Bulunamadı")</f>
        <v>Bulunamadı</v>
      </c>
      <c r="M11" s="38" t="str">
        <f>IFERROR(INDEX('GİRİŞ ANALİZİ'!$E:$E, MATCH($H11, 'GİRİŞ ANALİZİ'!$C:$C, 0)),"Bulunamadı")</f>
        <v>Bulunamadı</v>
      </c>
    </row>
    <row r="12" spans="1:13" x14ac:dyDescent="0.2">
      <c r="A12" s="38" t="str">
        <f>IFERROR(HYPERLINK("#"&amp;ADDRESS(MATCH($H12,'SATIN ALMA'!$R:$R,0),COLUMN('SATIN ALMA'!$R:$R),1,1,"SATIN ALMA"),"Git →"),"Bulunamadı")</f>
        <v>Bulunamadı</v>
      </c>
      <c r="B12" s="38" t="str">
        <f>IFERROR(INDEX('SATIN ALMA'!$F:$F, MATCH($H12, 'SATIN ALMA'!$R:$R, 0)),"Bulunamadı")</f>
        <v>Bulunamadı</v>
      </c>
      <c r="C12" s="38" t="str">
        <f>IFERROR(INDEX('SATIN ALMA'!$W:$W, MATCH($H12, 'SATIN ALMA'!$R:$R, 0)),"Bulunamadı")</f>
        <v>Bulunamadı</v>
      </c>
      <c r="D12" s="38" t="str">
        <f>IFERROR(INDEX('SATIN ALMA'!$C:$C, MATCH($H12, 'SATIN ALMA'!$R:$R, 0)),"Bulunamadı")</f>
        <v>Bulunamadı</v>
      </c>
      <c r="E12" s="38" t="str">
        <f>IFERROR(INDEX('SATIN ALMA'!$D:$D, MATCH($H12, 'SATIN ALMA'!$R:$R, 0)),"Bulunamadı")</f>
        <v>Bulunamadı</v>
      </c>
      <c r="F12" s="38">
        <v>2025</v>
      </c>
      <c r="G12" s="89"/>
      <c r="H12" s="38" t="str">
        <f>IFERROR(INDEX('SATIN ALMA'!$R:$R, MATCH($J12, 'SATIN ALMA'!$X:$X, 0)),"Bulunamadı"
)</f>
        <v>Bulunamadı</v>
      </c>
      <c r="I12" s="38" t="str">
        <f>IFERROR(INDEX('SATIN ALMA'!$S:$S, MATCH($J12, 'SATIN ALMA'!$X:$X, 0)),"Bulunamadı"
)</f>
        <v>Bulunamadı</v>
      </c>
      <c r="J12" s="45"/>
      <c r="K12" s="38" t="str">
        <f>IFERROR(INDEX('SATIN ALMA'!$T:$T, MATCH($H12, 'SATIN ALMA'!$R:$R, 0)),"Bulunamadı")</f>
        <v>Bulunamadı</v>
      </c>
      <c r="L12" s="38" t="str">
        <f>IFERROR(INDEX('SATIN ALMA'!$V:$V, MATCH($H12, 'SATIN ALMA'!$R:$R, 0)),"Bulunamadı")</f>
        <v>Bulunamadı</v>
      </c>
      <c r="M12" s="38" t="str">
        <f>IFERROR(INDEX('GİRİŞ ANALİZİ'!$E:$E, MATCH($H12, 'GİRİŞ ANALİZİ'!$C:$C, 0)),"Bulunamadı")</f>
        <v>Bulunamadı</v>
      </c>
    </row>
    <row r="13" spans="1:13" x14ac:dyDescent="0.2">
      <c r="A13" s="38" t="str">
        <f>IFERROR(HYPERLINK("#"&amp;ADDRESS(MATCH($H13,'SATIN ALMA'!$R:$R,0),COLUMN('SATIN ALMA'!$R:$R),1,1,"SATIN ALMA"),"Git →"),"Bulunamadı")</f>
        <v>Bulunamadı</v>
      </c>
      <c r="B13" s="38" t="str">
        <f>IFERROR(INDEX('SATIN ALMA'!$F:$F, MATCH($H13, 'SATIN ALMA'!$R:$R, 0)),"Bulunamadı")</f>
        <v>Bulunamadı</v>
      </c>
      <c r="C13" s="38" t="str">
        <f>IFERROR(INDEX('SATIN ALMA'!$W:$W, MATCH($H13, 'SATIN ALMA'!$R:$R, 0)),"Bulunamadı")</f>
        <v>Bulunamadı</v>
      </c>
      <c r="D13" s="38" t="str">
        <f>IFERROR(INDEX('SATIN ALMA'!$C:$C, MATCH($H13, 'SATIN ALMA'!$R:$R, 0)),"Bulunamadı")</f>
        <v>Bulunamadı</v>
      </c>
      <c r="E13" s="38" t="str">
        <f>IFERROR(INDEX('SATIN ALMA'!$D:$D, MATCH($H13, 'SATIN ALMA'!$R:$R, 0)),"Bulunamadı")</f>
        <v>Bulunamadı</v>
      </c>
      <c r="F13" s="38">
        <v>2025</v>
      </c>
      <c r="G13" s="89"/>
      <c r="H13" s="38" t="str">
        <f>IFERROR(INDEX('SATIN ALMA'!$R:$R, MATCH($J13, 'SATIN ALMA'!$X:$X, 0)),"Bulunamadı"
)</f>
        <v>Bulunamadı</v>
      </c>
      <c r="I13" s="38" t="str">
        <f>IFERROR(INDEX('SATIN ALMA'!$S:$S, MATCH($J13, 'SATIN ALMA'!$X:$X, 0)),"Bulunamadı"
)</f>
        <v>Bulunamadı</v>
      </c>
      <c r="J13" s="45"/>
      <c r="K13" s="38" t="str">
        <f>IFERROR(INDEX('SATIN ALMA'!$T:$T, MATCH($H13, 'SATIN ALMA'!$R:$R, 0)),"Bulunamadı")</f>
        <v>Bulunamadı</v>
      </c>
      <c r="L13" s="38" t="str">
        <f>IFERROR(INDEX('SATIN ALMA'!$V:$V, MATCH($H13, 'SATIN ALMA'!$R:$R, 0)),"Bulunamadı")</f>
        <v>Bulunamadı</v>
      </c>
      <c r="M13" s="38" t="str">
        <f>IFERROR(INDEX('GİRİŞ ANALİZİ'!$E:$E, MATCH($H13, 'GİRİŞ ANALİZİ'!$C:$C, 0)),"Bulunamadı")</f>
        <v>Bulunamadı</v>
      </c>
    </row>
    <row r="14" spans="1:13" x14ac:dyDescent="0.2">
      <c r="A14" s="38" t="str">
        <f>IFERROR(HYPERLINK("#"&amp;ADDRESS(MATCH($H14,'SATIN ALMA'!$R:$R,0),COLUMN('SATIN ALMA'!$R:$R),1,1,"SATIN ALMA"),"Git →"),"Bulunamadı")</f>
        <v>Bulunamadı</v>
      </c>
      <c r="B14" s="38" t="str">
        <f>IFERROR(INDEX('SATIN ALMA'!$F:$F, MATCH($H14, 'SATIN ALMA'!$R:$R, 0)),"Bulunamadı")</f>
        <v>Bulunamadı</v>
      </c>
      <c r="C14" s="38" t="str">
        <f>IFERROR(INDEX('SATIN ALMA'!$W:$W, MATCH($H14, 'SATIN ALMA'!$R:$R, 0)),"Bulunamadı")</f>
        <v>Bulunamadı</v>
      </c>
      <c r="D14" s="38" t="str">
        <f>IFERROR(INDEX('SATIN ALMA'!$C:$C, MATCH($H14, 'SATIN ALMA'!$R:$R, 0)),"Bulunamadı")</f>
        <v>Bulunamadı</v>
      </c>
      <c r="E14" s="38" t="str">
        <f>IFERROR(INDEX('SATIN ALMA'!$D:$D, MATCH($H14, 'SATIN ALMA'!$R:$R, 0)),"Bulunamadı")</f>
        <v>Bulunamadı</v>
      </c>
      <c r="F14" s="38">
        <v>2025</v>
      </c>
      <c r="G14" s="89"/>
      <c r="H14" s="38" t="str">
        <f>IFERROR(INDEX('SATIN ALMA'!$R:$R, MATCH($J14, 'SATIN ALMA'!$X:$X, 0)),"Bulunamadı"
)</f>
        <v>Bulunamadı</v>
      </c>
      <c r="I14" s="38" t="str">
        <f>IFERROR(INDEX('SATIN ALMA'!$S:$S, MATCH($J14, 'SATIN ALMA'!$X:$X, 0)),"Bulunamadı"
)</f>
        <v>Bulunamadı</v>
      </c>
      <c r="J14" s="45"/>
      <c r="K14" s="38" t="str">
        <f>IFERROR(INDEX('SATIN ALMA'!$T:$T, MATCH($H14, 'SATIN ALMA'!$R:$R, 0)),"Bulunamadı")</f>
        <v>Bulunamadı</v>
      </c>
      <c r="L14" s="38" t="str">
        <f>IFERROR(INDEX('SATIN ALMA'!$V:$V, MATCH($H14, 'SATIN ALMA'!$R:$R, 0)),"Bulunamadı")</f>
        <v>Bulunamadı</v>
      </c>
      <c r="M14" s="38" t="str">
        <f>IFERROR(INDEX('GİRİŞ ANALİZİ'!$E:$E, MATCH($H14, 'GİRİŞ ANALİZİ'!$C:$C, 0)),"Bulunamadı")</f>
        <v>Bulunamadı</v>
      </c>
    </row>
    <row r="15" spans="1:13" x14ac:dyDescent="0.2">
      <c r="A15" s="38" t="str">
        <f>IFERROR(HYPERLINK("#"&amp;ADDRESS(MATCH($H15,'SATIN ALMA'!$R:$R,0),COLUMN('SATIN ALMA'!$R:$R),1,1,"SATIN ALMA"),"Git →"),"Bulunamadı")</f>
        <v>Bulunamadı</v>
      </c>
      <c r="B15" s="38" t="str">
        <f>IFERROR(INDEX('SATIN ALMA'!$F:$F, MATCH($H15, 'SATIN ALMA'!$R:$R, 0)),"Bulunamadı")</f>
        <v>Bulunamadı</v>
      </c>
      <c r="C15" s="38" t="str">
        <f>IFERROR(INDEX('SATIN ALMA'!$W:$W, MATCH($H15, 'SATIN ALMA'!$R:$R, 0)),"Bulunamadı")</f>
        <v>Bulunamadı</v>
      </c>
      <c r="D15" s="38" t="str">
        <f>IFERROR(INDEX('SATIN ALMA'!$C:$C, MATCH($H15, 'SATIN ALMA'!$R:$R, 0)),"Bulunamadı")</f>
        <v>Bulunamadı</v>
      </c>
      <c r="E15" s="38" t="str">
        <f>IFERROR(INDEX('SATIN ALMA'!$D:$D, MATCH($H15, 'SATIN ALMA'!$R:$R, 0)),"Bulunamadı")</f>
        <v>Bulunamadı</v>
      </c>
      <c r="F15" s="38">
        <v>2025</v>
      </c>
      <c r="G15" s="89"/>
      <c r="H15" s="38" t="str">
        <f>IFERROR(INDEX('SATIN ALMA'!$R:$R, MATCH($J15, 'SATIN ALMA'!$X:$X, 0)),"Bulunamadı"
)</f>
        <v>Bulunamadı</v>
      </c>
      <c r="I15" s="38" t="str">
        <f>IFERROR(INDEX('SATIN ALMA'!$S:$S, MATCH($J15, 'SATIN ALMA'!$X:$X, 0)),"Bulunamadı"
)</f>
        <v>Bulunamadı</v>
      </c>
      <c r="J15" s="45"/>
      <c r="K15" s="38" t="str">
        <f>IFERROR(INDEX('SATIN ALMA'!$T:$T, MATCH($H15, 'SATIN ALMA'!$R:$R, 0)),"Bulunamadı")</f>
        <v>Bulunamadı</v>
      </c>
      <c r="L15" s="38" t="str">
        <f>IFERROR(INDEX('SATIN ALMA'!$V:$V, MATCH($H15, 'SATIN ALMA'!$R:$R, 0)),"Bulunamadı")</f>
        <v>Bulunamadı</v>
      </c>
      <c r="M15" s="38" t="str">
        <f>IFERROR(INDEX('GİRİŞ ANALİZİ'!$E:$E, MATCH($H15, 'GİRİŞ ANALİZİ'!$C:$C, 0)),"Bulunamadı")</f>
        <v>Bulunamadı</v>
      </c>
    </row>
    <row r="16" spans="1:13" x14ac:dyDescent="0.2">
      <c r="A16" s="38" t="str">
        <f>IFERROR(HYPERLINK("#"&amp;ADDRESS(MATCH($H16,'SATIN ALMA'!$R:$R,0),COLUMN('SATIN ALMA'!$R:$R),1,1,"SATIN ALMA"),"Git →"),"Bulunamadı")</f>
        <v>Bulunamadı</v>
      </c>
      <c r="B16" s="38" t="str">
        <f>IFERROR(INDEX('SATIN ALMA'!$F:$F, MATCH($H16, 'SATIN ALMA'!$R:$R, 0)),"Bulunamadı")</f>
        <v>Bulunamadı</v>
      </c>
      <c r="C16" s="38" t="str">
        <f>IFERROR(INDEX('SATIN ALMA'!$W:$W, MATCH($H16, 'SATIN ALMA'!$R:$R, 0)),"Bulunamadı")</f>
        <v>Bulunamadı</v>
      </c>
      <c r="D16" s="38" t="str">
        <f>IFERROR(INDEX('SATIN ALMA'!$C:$C, MATCH($H16, 'SATIN ALMA'!$R:$R, 0)),"Bulunamadı")</f>
        <v>Bulunamadı</v>
      </c>
      <c r="E16" s="38" t="str">
        <f>IFERROR(INDEX('SATIN ALMA'!$D:$D, MATCH($H16, 'SATIN ALMA'!$R:$R, 0)),"Bulunamadı")</f>
        <v>Bulunamadı</v>
      </c>
      <c r="F16" s="38">
        <v>2025</v>
      </c>
      <c r="G16" s="89"/>
      <c r="H16" s="38" t="str">
        <f>IFERROR(INDEX('SATIN ALMA'!$R:$R, MATCH($J16, 'SATIN ALMA'!$X:$X, 0)),"Bulunamadı"
)</f>
        <v>Bulunamadı</v>
      </c>
      <c r="I16" s="38" t="str">
        <f>IFERROR(INDEX('SATIN ALMA'!$S:$S, MATCH($J16, 'SATIN ALMA'!$X:$X, 0)),"Bulunamadı"
)</f>
        <v>Bulunamadı</v>
      </c>
      <c r="J16" s="45"/>
      <c r="K16" s="38" t="str">
        <f>IFERROR(INDEX('SATIN ALMA'!$T:$T, MATCH($H16, 'SATIN ALMA'!$R:$R, 0)),"Bulunamadı")</f>
        <v>Bulunamadı</v>
      </c>
      <c r="L16" s="38" t="str">
        <f>IFERROR(INDEX('SATIN ALMA'!$V:$V, MATCH($H16, 'SATIN ALMA'!$R:$R, 0)),"Bulunamadı")</f>
        <v>Bulunamadı</v>
      </c>
      <c r="M16" s="38" t="str">
        <f>IFERROR(INDEX('GİRİŞ ANALİZİ'!$E:$E, MATCH($H16, 'GİRİŞ ANALİZİ'!$C:$C, 0)),"Bulunamadı")</f>
        <v>Bulunamadı</v>
      </c>
    </row>
    <row r="17" spans="1:13" x14ac:dyDescent="0.2">
      <c r="A17" s="38" t="str">
        <f>IFERROR(HYPERLINK("#"&amp;ADDRESS(MATCH($H17,'SATIN ALMA'!$R:$R,0),COLUMN('SATIN ALMA'!$R:$R),1,1,"SATIN ALMA"),"Git →"),"Bulunamadı")</f>
        <v>Bulunamadı</v>
      </c>
      <c r="B17" s="38" t="str">
        <f>IFERROR(INDEX('SATIN ALMA'!$F:$F, MATCH($H17, 'SATIN ALMA'!$R:$R, 0)),"Bulunamadı")</f>
        <v>Bulunamadı</v>
      </c>
      <c r="C17" s="38" t="str">
        <f>IFERROR(INDEX('SATIN ALMA'!$W:$W, MATCH($H17, 'SATIN ALMA'!$R:$R, 0)),"Bulunamadı")</f>
        <v>Bulunamadı</v>
      </c>
      <c r="D17" s="38" t="str">
        <f>IFERROR(INDEX('SATIN ALMA'!$C:$C, MATCH($H17, 'SATIN ALMA'!$R:$R, 0)),"Bulunamadı")</f>
        <v>Bulunamadı</v>
      </c>
      <c r="E17" s="38" t="str">
        <f>IFERROR(INDEX('SATIN ALMA'!$D:$D, MATCH($H17, 'SATIN ALMA'!$R:$R, 0)),"Bulunamadı")</f>
        <v>Bulunamadı</v>
      </c>
      <c r="F17" s="38">
        <v>2025</v>
      </c>
      <c r="G17" s="89"/>
      <c r="H17" s="38" t="str">
        <f>IFERROR(INDEX('SATIN ALMA'!$R:$R, MATCH($J17, 'SATIN ALMA'!$X:$X, 0)),"Bulunamadı"
)</f>
        <v>Bulunamadı</v>
      </c>
      <c r="I17" s="38" t="str">
        <f>IFERROR(INDEX('SATIN ALMA'!$S:$S, MATCH($J17, 'SATIN ALMA'!$X:$X, 0)),"Bulunamadı"
)</f>
        <v>Bulunamadı</v>
      </c>
      <c r="J17" s="45"/>
      <c r="K17" s="38" t="str">
        <f>IFERROR(INDEX('SATIN ALMA'!$T:$T, MATCH($H17, 'SATIN ALMA'!$R:$R, 0)),"Bulunamadı")</f>
        <v>Bulunamadı</v>
      </c>
      <c r="L17" s="38" t="str">
        <f>IFERROR(INDEX('SATIN ALMA'!$V:$V, MATCH($H17, 'SATIN ALMA'!$R:$R, 0)),"Bulunamadı")</f>
        <v>Bulunamadı</v>
      </c>
      <c r="M17" s="38" t="str">
        <f>IFERROR(INDEX('GİRİŞ ANALİZİ'!$E:$E, MATCH($H17, 'GİRİŞ ANALİZİ'!$C:$C, 0)),"Bulunamadı")</f>
        <v>Bulunamadı</v>
      </c>
    </row>
    <row r="18" spans="1:13" x14ac:dyDescent="0.2">
      <c r="A18" s="38" t="str">
        <f>IFERROR(HYPERLINK("#"&amp;ADDRESS(MATCH($H18,'SATIN ALMA'!$R:$R,0),COLUMN('SATIN ALMA'!$R:$R),1,1,"SATIN ALMA"),"Git →"),"Bulunamadı")</f>
        <v>Bulunamadı</v>
      </c>
      <c r="B18" s="38" t="str">
        <f>IFERROR(INDEX('SATIN ALMA'!$F:$F, MATCH($H18, 'SATIN ALMA'!$R:$R, 0)),"Bulunamadı")</f>
        <v>Bulunamadı</v>
      </c>
      <c r="C18" s="38" t="str">
        <f>IFERROR(INDEX('SATIN ALMA'!$W:$W, MATCH($H18, 'SATIN ALMA'!$R:$R, 0)),"Bulunamadı")</f>
        <v>Bulunamadı</v>
      </c>
      <c r="D18" s="38" t="str">
        <f>IFERROR(INDEX('SATIN ALMA'!$C:$C, MATCH($H18, 'SATIN ALMA'!$R:$R, 0)),"Bulunamadı")</f>
        <v>Bulunamadı</v>
      </c>
      <c r="E18" s="38" t="str">
        <f>IFERROR(INDEX('SATIN ALMA'!$D:$D, MATCH($H18, 'SATIN ALMA'!$R:$R, 0)),"Bulunamadı")</f>
        <v>Bulunamadı</v>
      </c>
      <c r="F18" s="38">
        <v>2025</v>
      </c>
      <c r="G18" s="89"/>
      <c r="H18" s="38" t="str">
        <f>IFERROR(INDEX('SATIN ALMA'!$R:$R, MATCH($J18, 'SATIN ALMA'!$X:$X, 0)),"Bulunamadı"
)</f>
        <v>Bulunamadı</v>
      </c>
      <c r="I18" s="38" t="str">
        <f>IFERROR(INDEX('SATIN ALMA'!$S:$S, MATCH($J18, 'SATIN ALMA'!$X:$X, 0)),"Bulunamadı"
)</f>
        <v>Bulunamadı</v>
      </c>
      <c r="J18" s="45"/>
      <c r="K18" s="38" t="str">
        <f>IFERROR(INDEX('SATIN ALMA'!$T:$T, MATCH($H18, 'SATIN ALMA'!$R:$R, 0)),"Bulunamadı")</f>
        <v>Bulunamadı</v>
      </c>
      <c r="L18" s="38" t="str">
        <f>IFERROR(INDEX('SATIN ALMA'!$V:$V, MATCH($H18, 'SATIN ALMA'!$R:$R, 0)),"Bulunamadı")</f>
        <v>Bulunamadı</v>
      </c>
      <c r="M18" s="38" t="str">
        <f>IFERROR(INDEX('GİRİŞ ANALİZİ'!$E:$E, MATCH($H18, 'GİRİŞ ANALİZİ'!$C:$C, 0)),"Bulunamadı")</f>
        <v>Bulunamadı</v>
      </c>
    </row>
    <row r="19" spans="1:13" x14ac:dyDescent="0.2">
      <c r="A19" s="38" t="str">
        <f>IFERROR(HYPERLINK("#"&amp;ADDRESS(MATCH($H19,'SATIN ALMA'!$R:$R,0),COLUMN('SATIN ALMA'!$R:$R),1,1,"SATIN ALMA"),"Git →"),"Bulunamadı")</f>
        <v>Bulunamadı</v>
      </c>
      <c r="B19" s="38" t="str">
        <f>IFERROR(INDEX('SATIN ALMA'!$F:$F, MATCH($H19, 'SATIN ALMA'!$R:$R, 0)),"Bulunamadı")</f>
        <v>Bulunamadı</v>
      </c>
      <c r="C19" s="38" t="str">
        <f>IFERROR(INDEX('SATIN ALMA'!$W:$W, MATCH($H19, 'SATIN ALMA'!$R:$R, 0)),"Bulunamadı")</f>
        <v>Bulunamadı</v>
      </c>
      <c r="D19" s="38" t="str">
        <f>IFERROR(INDEX('SATIN ALMA'!$C:$C, MATCH($H19, 'SATIN ALMA'!$R:$R, 0)),"Bulunamadı")</f>
        <v>Bulunamadı</v>
      </c>
      <c r="E19" s="38" t="str">
        <f>IFERROR(INDEX('SATIN ALMA'!$D:$D, MATCH($H19, 'SATIN ALMA'!$R:$R, 0)),"Bulunamadı")</f>
        <v>Bulunamadı</v>
      </c>
      <c r="F19" s="38">
        <v>2025</v>
      </c>
      <c r="G19" s="89"/>
      <c r="H19" s="38" t="str">
        <f>IFERROR(INDEX('SATIN ALMA'!$R:$R, MATCH($J19, 'SATIN ALMA'!$X:$X, 0)),"Bulunamadı"
)</f>
        <v>Bulunamadı</v>
      </c>
      <c r="I19" s="38" t="str">
        <f>IFERROR(INDEX('SATIN ALMA'!$S:$S, MATCH($J19, 'SATIN ALMA'!$X:$X, 0)),"Bulunamadı"
)</f>
        <v>Bulunamadı</v>
      </c>
      <c r="J19" s="45"/>
      <c r="K19" s="38" t="str">
        <f>IFERROR(INDEX('SATIN ALMA'!$T:$T, MATCH($H19, 'SATIN ALMA'!$R:$R, 0)),"Bulunamadı")</f>
        <v>Bulunamadı</v>
      </c>
      <c r="L19" s="38" t="str">
        <f>IFERROR(INDEX('SATIN ALMA'!$V:$V, MATCH($H19, 'SATIN ALMA'!$R:$R, 0)),"Bulunamadı")</f>
        <v>Bulunamadı</v>
      </c>
      <c r="M19" s="38" t="str">
        <f>IFERROR(INDEX('GİRİŞ ANALİZİ'!$E:$E, MATCH($H19, 'GİRİŞ ANALİZİ'!$C:$C, 0)),"Bulunamadı")</f>
        <v>Bulunamadı</v>
      </c>
    </row>
    <row r="20" spans="1:13" x14ac:dyDescent="0.2">
      <c r="A20" s="38" t="str">
        <f>IFERROR(HYPERLINK("#"&amp;ADDRESS(MATCH($H20,'SATIN ALMA'!$R:$R,0),COLUMN('SATIN ALMA'!$R:$R),1,1,"SATIN ALMA"),"Git →"),"Bulunamadı")</f>
        <v>Bulunamadı</v>
      </c>
      <c r="B20" s="38" t="str">
        <f>IFERROR(INDEX('SATIN ALMA'!$F:$F, MATCH($H20, 'SATIN ALMA'!$R:$R, 0)),"Bulunamadı")</f>
        <v>Bulunamadı</v>
      </c>
      <c r="C20" s="38" t="str">
        <f>IFERROR(INDEX('SATIN ALMA'!$W:$W, MATCH($H20, 'SATIN ALMA'!$R:$R, 0)),"Bulunamadı")</f>
        <v>Bulunamadı</v>
      </c>
      <c r="D20" s="38" t="str">
        <f>IFERROR(INDEX('SATIN ALMA'!$C:$C, MATCH($H20, 'SATIN ALMA'!$R:$R, 0)),"Bulunamadı")</f>
        <v>Bulunamadı</v>
      </c>
      <c r="E20" s="38" t="str">
        <f>IFERROR(INDEX('SATIN ALMA'!$D:$D, MATCH($H20, 'SATIN ALMA'!$R:$R, 0)),"Bulunamadı")</f>
        <v>Bulunamadı</v>
      </c>
      <c r="F20" s="38">
        <v>2025</v>
      </c>
      <c r="G20" s="89"/>
      <c r="H20" s="38" t="str">
        <f>IFERROR(INDEX('SATIN ALMA'!$R:$R, MATCH($J20, 'SATIN ALMA'!$X:$X, 0)),"Bulunamadı"
)</f>
        <v>Bulunamadı</v>
      </c>
      <c r="I20" s="38" t="str">
        <f>IFERROR(INDEX('SATIN ALMA'!$S:$S, MATCH($J20, 'SATIN ALMA'!$X:$X, 0)),"Bulunamadı"
)</f>
        <v>Bulunamadı</v>
      </c>
      <c r="J20" s="45"/>
      <c r="K20" s="38" t="str">
        <f>IFERROR(INDEX('SATIN ALMA'!$T:$T, MATCH($H20, 'SATIN ALMA'!$R:$R, 0)),"Bulunamadı")</f>
        <v>Bulunamadı</v>
      </c>
      <c r="L20" s="38" t="str">
        <f>IFERROR(INDEX('SATIN ALMA'!$V:$V, MATCH($H20, 'SATIN ALMA'!$R:$R, 0)),"Bulunamadı")</f>
        <v>Bulunamadı</v>
      </c>
      <c r="M20" s="38" t="str">
        <f>IFERROR(INDEX('GİRİŞ ANALİZİ'!$E:$E, MATCH($H20, 'GİRİŞ ANALİZİ'!$C:$C, 0)),"Bulunamadı")</f>
        <v>Bulunamadı</v>
      </c>
    </row>
    <row r="21" spans="1:13" x14ac:dyDescent="0.2">
      <c r="A21" s="38" t="str">
        <f>IFERROR(HYPERLINK("#"&amp;ADDRESS(MATCH($H21,'SATIN ALMA'!$R:$R,0),COLUMN('SATIN ALMA'!$R:$R),1,1,"SATIN ALMA"),"Git →"),"Bulunamadı")</f>
        <v>Bulunamadı</v>
      </c>
      <c r="B21" s="38" t="str">
        <f>IFERROR(INDEX('SATIN ALMA'!$F:$F, MATCH($H21, 'SATIN ALMA'!$R:$R, 0)),"Bulunamadı")</f>
        <v>Bulunamadı</v>
      </c>
      <c r="C21" s="38" t="str">
        <f>IFERROR(INDEX('SATIN ALMA'!$W:$W, MATCH($H21, 'SATIN ALMA'!$R:$R, 0)),"Bulunamadı")</f>
        <v>Bulunamadı</v>
      </c>
      <c r="D21" s="38" t="str">
        <f>IFERROR(INDEX('SATIN ALMA'!$C:$C, MATCH($H21, 'SATIN ALMA'!$R:$R, 0)),"Bulunamadı")</f>
        <v>Bulunamadı</v>
      </c>
      <c r="E21" s="38" t="str">
        <f>IFERROR(INDEX('SATIN ALMA'!$D:$D, MATCH($H21, 'SATIN ALMA'!$R:$R, 0)),"Bulunamadı")</f>
        <v>Bulunamadı</v>
      </c>
      <c r="F21" s="38">
        <v>2025</v>
      </c>
      <c r="G21" s="89"/>
      <c r="H21" s="38" t="str">
        <f>IFERROR(INDEX('SATIN ALMA'!$R:$R, MATCH($J21, 'SATIN ALMA'!$X:$X, 0)),"Bulunamadı"
)</f>
        <v>Bulunamadı</v>
      </c>
      <c r="I21" s="38" t="str">
        <f>IFERROR(INDEX('SATIN ALMA'!$S:$S, MATCH($J21, 'SATIN ALMA'!$X:$X, 0)),"Bulunamadı"
)</f>
        <v>Bulunamadı</v>
      </c>
      <c r="J21" s="45"/>
      <c r="K21" s="38" t="str">
        <f>IFERROR(INDEX('SATIN ALMA'!$T:$T, MATCH($H21, 'SATIN ALMA'!$R:$R, 0)),"Bulunamadı")</f>
        <v>Bulunamadı</v>
      </c>
      <c r="L21" s="38" t="str">
        <f>IFERROR(INDEX('SATIN ALMA'!$V:$V, MATCH($H21, 'SATIN ALMA'!$R:$R, 0)),"Bulunamadı")</f>
        <v>Bulunamadı</v>
      </c>
      <c r="M21" s="38" t="str">
        <f>IFERROR(INDEX('GİRİŞ ANALİZİ'!$E:$E, MATCH($H21, 'GİRİŞ ANALİZİ'!$C:$C, 0)),"Bulunamadı")</f>
        <v>Bulunamadı</v>
      </c>
    </row>
    <row r="22" spans="1:13" x14ac:dyDescent="0.2">
      <c r="A22" s="38" t="str">
        <f>IFERROR(HYPERLINK("#"&amp;ADDRESS(MATCH($H22,'SATIN ALMA'!$R:$R,0),COLUMN('SATIN ALMA'!$R:$R),1,1,"SATIN ALMA"),"Git →"),"Bulunamadı")</f>
        <v>Bulunamadı</v>
      </c>
      <c r="B22" s="38" t="str">
        <f>IFERROR(INDEX('SATIN ALMA'!$F:$F, MATCH($H22, 'SATIN ALMA'!$R:$R, 0)),"Bulunamadı")</f>
        <v>Bulunamadı</v>
      </c>
      <c r="C22" s="38" t="str">
        <f>IFERROR(INDEX('SATIN ALMA'!$W:$W, MATCH($H22, 'SATIN ALMA'!$R:$R, 0)),"Bulunamadı")</f>
        <v>Bulunamadı</v>
      </c>
      <c r="D22" s="38" t="str">
        <f>IFERROR(INDEX('SATIN ALMA'!$C:$C, MATCH($H22, 'SATIN ALMA'!$R:$R, 0)),"Bulunamadı")</f>
        <v>Bulunamadı</v>
      </c>
      <c r="E22" s="38" t="str">
        <f>IFERROR(INDEX('SATIN ALMA'!$D:$D, MATCH($H22, 'SATIN ALMA'!$R:$R, 0)),"Bulunamadı")</f>
        <v>Bulunamadı</v>
      </c>
      <c r="F22" s="38">
        <v>2025</v>
      </c>
      <c r="G22" s="89"/>
      <c r="H22" s="38" t="str">
        <f>IFERROR(INDEX('SATIN ALMA'!$R:$R, MATCH($J22, 'SATIN ALMA'!$X:$X, 0)),"Bulunamadı"
)</f>
        <v>Bulunamadı</v>
      </c>
      <c r="I22" s="38" t="str">
        <f>IFERROR(INDEX('SATIN ALMA'!$S:$S, MATCH($J22, 'SATIN ALMA'!$X:$X, 0)),"Bulunamadı"
)</f>
        <v>Bulunamadı</v>
      </c>
      <c r="J22" s="45"/>
      <c r="K22" s="38" t="str">
        <f>IFERROR(INDEX('SATIN ALMA'!$T:$T, MATCH($H22, 'SATIN ALMA'!$R:$R, 0)),"Bulunamadı")</f>
        <v>Bulunamadı</v>
      </c>
      <c r="L22" s="38" t="str">
        <f>IFERROR(INDEX('SATIN ALMA'!$V:$V, MATCH($H22, 'SATIN ALMA'!$R:$R, 0)),"Bulunamadı")</f>
        <v>Bulunamadı</v>
      </c>
      <c r="M22" s="38" t="str">
        <f>IFERROR(INDEX('GİRİŞ ANALİZİ'!$E:$E, MATCH($H22, 'GİRİŞ ANALİZİ'!$C:$C, 0)),"Bulunamadı")</f>
        <v>Bulunamadı</v>
      </c>
    </row>
    <row r="23" spans="1:13" x14ac:dyDescent="0.2">
      <c r="A23" s="38" t="str">
        <f>IFERROR(HYPERLINK("#"&amp;ADDRESS(MATCH($H23,'SATIN ALMA'!$R:$R,0),COLUMN('SATIN ALMA'!$R:$R),1,1,"SATIN ALMA"),"Git →"),"Bulunamadı")</f>
        <v>Bulunamadı</v>
      </c>
      <c r="B23" s="38" t="str">
        <f>IFERROR(INDEX('SATIN ALMA'!$F:$F, MATCH($H23, 'SATIN ALMA'!$R:$R, 0)),"Bulunamadı")</f>
        <v>Bulunamadı</v>
      </c>
      <c r="C23" s="38" t="str">
        <f>IFERROR(INDEX('SATIN ALMA'!$W:$W, MATCH($H23, 'SATIN ALMA'!$R:$R, 0)),"Bulunamadı")</f>
        <v>Bulunamadı</v>
      </c>
      <c r="D23" s="38" t="str">
        <f>IFERROR(INDEX('SATIN ALMA'!$C:$C, MATCH($H23, 'SATIN ALMA'!$R:$R, 0)),"Bulunamadı")</f>
        <v>Bulunamadı</v>
      </c>
      <c r="E23" s="38" t="str">
        <f>IFERROR(INDEX('SATIN ALMA'!$D:$D, MATCH($H23, 'SATIN ALMA'!$R:$R, 0)),"Bulunamadı")</f>
        <v>Bulunamadı</v>
      </c>
      <c r="F23" s="38">
        <v>2025</v>
      </c>
      <c r="G23" s="89"/>
      <c r="H23" s="38" t="str">
        <f>IFERROR(INDEX('SATIN ALMA'!$R:$R, MATCH($J23, 'SATIN ALMA'!$X:$X, 0)),"Bulunamadı"
)</f>
        <v>Bulunamadı</v>
      </c>
      <c r="I23" s="38" t="str">
        <f>IFERROR(INDEX('SATIN ALMA'!$S:$S, MATCH($J23, 'SATIN ALMA'!$X:$X, 0)),"Bulunamadı"
)</f>
        <v>Bulunamadı</v>
      </c>
      <c r="J23" s="45"/>
      <c r="K23" s="38" t="str">
        <f>IFERROR(INDEX('SATIN ALMA'!$T:$T, MATCH($H23, 'SATIN ALMA'!$R:$R, 0)),"Bulunamadı")</f>
        <v>Bulunamadı</v>
      </c>
      <c r="L23" s="38" t="str">
        <f>IFERROR(INDEX('SATIN ALMA'!$V:$V, MATCH($H23, 'SATIN ALMA'!$R:$R, 0)),"Bulunamadı")</f>
        <v>Bulunamadı</v>
      </c>
      <c r="M23" s="38" t="str">
        <f>IFERROR(INDEX('GİRİŞ ANALİZİ'!$E:$E, MATCH($H23, 'GİRİŞ ANALİZİ'!$C:$C, 0)),"Bulunamadı")</f>
        <v>Bulunamadı</v>
      </c>
    </row>
    <row r="24" spans="1:13" x14ac:dyDescent="0.2">
      <c r="A24" s="38" t="str">
        <f>IFERROR(HYPERLINK("#"&amp;ADDRESS(MATCH($H24,'SATIN ALMA'!$R:$R,0),COLUMN('SATIN ALMA'!$R:$R),1,1,"SATIN ALMA"),"Git →"),"Bulunamadı")</f>
        <v>Bulunamadı</v>
      </c>
      <c r="B24" s="38" t="str">
        <f>IFERROR(INDEX('SATIN ALMA'!$F:$F, MATCH($H24, 'SATIN ALMA'!$R:$R, 0)),"Bulunamadı")</f>
        <v>Bulunamadı</v>
      </c>
      <c r="C24" s="38" t="str">
        <f>IFERROR(INDEX('SATIN ALMA'!$W:$W, MATCH($H24, 'SATIN ALMA'!$R:$R, 0)),"Bulunamadı")</f>
        <v>Bulunamadı</v>
      </c>
      <c r="D24" s="38" t="str">
        <f>IFERROR(INDEX('SATIN ALMA'!$C:$C, MATCH($H24, 'SATIN ALMA'!$R:$R, 0)),"Bulunamadı")</f>
        <v>Bulunamadı</v>
      </c>
      <c r="E24" s="38" t="str">
        <f>IFERROR(INDEX('SATIN ALMA'!$D:$D, MATCH($H24, 'SATIN ALMA'!$R:$R, 0)),"Bulunamadı")</f>
        <v>Bulunamadı</v>
      </c>
      <c r="F24" s="38">
        <v>2025</v>
      </c>
      <c r="G24" s="89"/>
      <c r="H24" s="38" t="str">
        <f>IFERROR(INDEX('SATIN ALMA'!$R:$R, MATCH($J24, 'SATIN ALMA'!$X:$X, 0)),"Bulunamadı"
)</f>
        <v>Bulunamadı</v>
      </c>
      <c r="I24" s="38" t="str">
        <f>IFERROR(INDEX('SATIN ALMA'!$S:$S, MATCH($J24, 'SATIN ALMA'!$X:$X, 0)),"Bulunamadı"
)</f>
        <v>Bulunamadı</v>
      </c>
      <c r="J24" s="45"/>
      <c r="K24" s="38" t="str">
        <f>IFERROR(INDEX('SATIN ALMA'!$T:$T, MATCH($H24, 'SATIN ALMA'!$R:$R, 0)),"Bulunamadı")</f>
        <v>Bulunamadı</v>
      </c>
      <c r="L24" s="38" t="str">
        <f>IFERROR(INDEX('SATIN ALMA'!$V:$V, MATCH($H24, 'SATIN ALMA'!$R:$R, 0)),"Bulunamadı")</f>
        <v>Bulunamadı</v>
      </c>
      <c r="M24" s="38" t="str">
        <f>IFERROR(INDEX('GİRİŞ ANALİZİ'!$E:$E, MATCH($H24, 'GİRİŞ ANALİZİ'!$C:$C, 0)),"Bulunamadı")</f>
        <v>Bulunamadı</v>
      </c>
    </row>
    <row r="25" spans="1:13" x14ac:dyDescent="0.2">
      <c r="A25" s="38" t="str">
        <f>IFERROR(HYPERLINK("#"&amp;ADDRESS(MATCH($H25,'SATIN ALMA'!$R:$R,0),COLUMN('SATIN ALMA'!$R:$R),1,1,"SATIN ALMA"),"Git →"),"Bulunamadı")</f>
        <v>Bulunamadı</v>
      </c>
      <c r="B25" s="38" t="str">
        <f>IFERROR(INDEX('SATIN ALMA'!$F:$F, MATCH($H25, 'SATIN ALMA'!$R:$R, 0)),"Bulunamadı")</f>
        <v>Bulunamadı</v>
      </c>
      <c r="C25" s="38" t="str">
        <f>IFERROR(INDEX('SATIN ALMA'!$W:$W, MATCH($H25, 'SATIN ALMA'!$R:$R, 0)),"Bulunamadı")</f>
        <v>Bulunamadı</v>
      </c>
      <c r="D25" s="38" t="str">
        <f>IFERROR(INDEX('SATIN ALMA'!$C:$C, MATCH($H25, 'SATIN ALMA'!$R:$R, 0)),"Bulunamadı")</f>
        <v>Bulunamadı</v>
      </c>
      <c r="E25" s="38" t="str">
        <f>IFERROR(INDEX('SATIN ALMA'!$D:$D, MATCH($H25, 'SATIN ALMA'!$R:$R, 0)),"Bulunamadı")</f>
        <v>Bulunamadı</v>
      </c>
      <c r="F25" s="38">
        <v>2025</v>
      </c>
      <c r="G25" s="89"/>
      <c r="H25" s="38" t="str">
        <f>IFERROR(INDEX('SATIN ALMA'!$R:$R, MATCH($J25, 'SATIN ALMA'!$X:$X, 0)),"Bulunamadı"
)</f>
        <v>Bulunamadı</v>
      </c>
      <c r="I25" s="38" t="str">
        <f>IFERROR(INDEX('SATIN ALMA'!$S:$S, MATCH($J25, 'SATIN ALMA'!$X:$X, 0)),"Bulunamadı"
)</f>
        <v>Bulunamadı</v>
      </c>
      <c r="J25" s="45"/>
      <c r="K25" s="38" t="str">
        <f>IFERROR(INDEX('SATIN ALMA'!$T:$T, MATCH($H25, 'SATIN ALMA'!$R:$R, 0)),"Bulunamadı")</f>
        <v>Bulunamadı</v>
      </c>
      <c r="L25" s="38" t="str">
        <f>IFERROR(INDEX('SATIN ALMA'!$V:$V, MATCH($H25, 'SATIN ALMA'!$R:$R, 0)),"Bulunamadı")</f>
        <v>Bulunamadı</v>
      </c>
      <c r="M25" s="38" t="str">
        <f>IFERROR(INDEX('GİRİŞ ANALİZİ'!$E:$E, MATCH($H25, 'GİRİŞ ANALİZİ'!$C:$C, 0)),"Bulunamadı")</f>
        <v>Bulunamadı</v>
      </c>
    </row>
    <row r="26" spans="1:13" x14ac:dyDescent="0.2">
      <c r="A26" s="38" t="str">
        <f>IFERROR(HYPERLINK("#"&amp;ADDRESS(MATCH($H26,'SATIN ALMA'!$R:$R,0),COLUMN('SATIN ALMA'!$R:$R),1,1,"SATIN ALMA"),"Git →"),"Bulunamadı")</f>
        <v>Bulunamadı</v>
      </c>
      <c r="B26" s="38" t="str">
        <f>IFERROR(INDEX('SATIN ALMA'!$F:$F, MATCH($H26, 'SATIN ALMA'!$R:$R, 0)),"Bulunamadı")</f>
        <v>Bulunamadı</v>
      </c>
      <c r="C26" s="38" t="str">
        <f>IFERROR(INDEX('SATIN ALMA'!$W:$W, MATCH($H26, 'SATIN ALMA'!$R:$R, 0)),"Bulunamadı")</f>
        <v>Bulunamadı</v>
      </c>
      <c r="D26" s="38" t="str">
        <f>IFERROR(INDEX('SATIN ALMA'!$C:$C, MATCH($H26, 'SATIN ALMA'!$R:$R, 0)),"Bulunamadı")</f>
        <v>Bulunamadı</v>
      </c>
      <c r="E26" s="38" t="str">
        <f>IFERROR(INDEX('SATIN ALMA'!$D:$D, MATCH($H26, 'SATIN ALMA'!$R:$R, 0)),"Bulunamadı")</f>
        <v>Bulunamadı</v>
      </c>
      <c r="F26" s="38">
        <v>2025</v>
      </c>
      <c r="G26" s="89"/>
      <c r="H26" s="38" t="str">
        <f>IFERROR(INDEX('SATIN ALMA'!$R:$R, MATCH($J26, 'SATIN ALMA'!$X:$X, 0)),"Bulunamadı"
)</f>
        <v>Bulunamadı</v>
      </c>
      <c r="I26" s="38" t="str">
        <f>IFERROR(INDEX('SATIN ALMA'!$S:$S, MATCH($J26, 'SATIN ALMA'!$X:$X, 0)),"Bulunamadı"
)</f>
        <v>Bulunamadı</v>
      </c>
      <c r="J26" s="45"/>
      <c r="K26" s="38" t="str">
        <f>IFERROR(INDEX('SATIN ALMA'!$T:$T, MATCH($H26, 'SATIN ALMA'!$R:$R, 0)),"Bulunamadı")</f>
        <v>Bulunamadı</v>
      </c>
      <c r="L26" s="38" t="str">
        <f>IFERROR(INDEX('SATIN ALMA'!$V:$V, MATCH($H26, 'SATIN ALMA'!$R:$R, 0)),"Bulunamadı")</f>
        <v>Bulunamadı</v>
      </c>
      <c r="M26" s="38" t="str">
        <f>IFERROR(INDEX('GİRİŞ ANALİZİ'!$E:$E, MATCH($H26, 'GİRİŞ ANALİZİ'!$C:$C, 0)),"Bulunamadı")</f>
        <v>Bulunamadı</v>
      </c>
    </row>
    <row r="27" spans="1:13" x14ac:dyDescent="0.2">
      <c r="A27" s="38" t="str">
        <f>IFERROR(HYPERLINK("#"&amp;ADDRESS(MATCH($H27,'SATIN ALMA'!$R:$R,0),COLUMN('SATIN ALMA'!$R:$R),1,1,"SATIN ALMA"),"Git →"),"Bulunamadı")</f>
        <v>Bulunamadı</v>
      </c>
      <c r="B27" s="38" t="str">
        <f>IFERROR(INDEX('SATIN ALMA'!$F:$F, MATCH($H27, 'SATIN ALMA'!$R:$R, 0)),"Bulunamadı")</f>
        <v>Bulunamadı</v>
      </c>
      <c r="C27" s="38" t="str">
        <f>IFERROR(INDEX('SATIN ALMA'!$W:$W, MATCH($H27, 'SATIN ALMA'!$R:$R, 0)),"Bulunamadı")</f>
        <v>Bulunamadı</v>
      </c>
      <c r="D27" s="38" t="str">
        <f>IFERROR(INDEX('SATIN ALMA'!$C:$C, MATCH($H27, 'SATIN ALMA'!$R:$R, 0)),"Bulunamadı")</f>
        <v>Bulunamadı</v>
      </c>
      <c r="E27" s="38" t="str">
        <f>IFERROR(INDEX('SATIN ALMA'!$D:$D, MATCH($H27, 'SATIN ALMA'!$R:$R, 0)),"Bulunamadı")</f>
        <v>Bulunamadı</v>
      </c>
      <c r="F27" s="38">
        <v>2025</v>
      </c>
      <c r="G27" s="89"/>
      <c r="H27" s="38" t="str">
        <f>IFERROR(INDEX('SATIN ALMA'!$R:$R, MATCH($J27, 'SATIN ALMA'!$X:$X, 0)),"Bulunamadı"
)</f>
        <v>Bulunamadı</v>
      </c>
      <c r="I27" s="38" t="str">
        <f>IFERROR(INDEX('SATIN ALMA'!$S:$S, MATCH($J27, 'SATIN ALMA'!$X:$X, 0)),"Bulunamadı"
)</f>
        <v>Bulunamadı</v>
      </c>
      <c r="J27" s="45"/>
      <c r="K27" s="38" t="str">
        <f>IFERROR(INDEX('SATIN ALMA'!$T:$T, MATCH($H27, 'SATIN ALMA'!$R:$R, 0)),"Bulunamadı")</f>
        <v>Bulunamadı</v>
      </c>
      <c r="L27" s="38" t="str">
        <f>IFERROR(INDEX('SATIN ALMA'!$V:$V, MATCH($H27, 'SATIN ALMA'!$R:$R, 0)),"Bulunamadı")</f>
        <v>Bulunamadı</v>
      </c>
      <c r="M27" s="38" t="str">
        <f>IFERROR(INDEX('GİRİŞ ANALİZİ'!$E:$E, MATCH($H27, 'GİRİŞ ANALİZİ'!$C:$C, 0)),"Bulunamadı")</f>
        <v>Bulunamadı</v>
      </c>
    </row>
    <row r="28" spans="1:13" x14ac:dyDescent="0.2">
      <c r="A28" s="38"/>
      <c r="B28" s="38"/>
      <c r="C28" s="38"/>
      <c r="D28" s="38"/>
      <c r="E28" s="38"/>
      <c r="F28" s="38"/>
      <c r="G28" s="89"/>
      <c r="H28" s="38"/>
      <c r="I28" s="38"/>
      <c r="J28" s="45"/>
      <c r="K28" s="38"/>
      <c r="L28" s="38"/>
      <c r="M28" s="38"/>
    </row>
    <row r="29" spans="1:13" x14ac:dyDescent="0.2">
      <c r="A29" s="38"/>
      <c r="B29" s="38"/>
      <c r="C29" s="38"/>
      <c r="D29" s="38"/>
      <c r="E29" s="38"/>
      <c r="F29" s="38"/>
      <c r="G29" s="89"/>
      <c r="H29" s="38"/>
      <c r="I29" s="38"/>
      <c r="J29" s="45"/>
      <c r="K29" s="38"/>
      <c r="L29" s="38"/>
      <c r="M29" s="38"/>
    </row>
    <row r="30" spans="1:13" x14ac:dyDescent="0.2">
      <c r="A30" s="38"/>
      <c r="B30" s="38"/>
      <c r="C30" s="38"/>
      <c r="D30" s="38"/>
      <c r="E30" s="38"/>
      <c r="F30" s="38"/>
      <c r="G30" s="89"/>
      <c r="H30" s="38"/>
      <c r="I30" s="38"/>
      <c r="J30" s="45"/>
      <c r="K30" s="38"/>
      <c r="L30" s="38"/>
      <c r="M30" s="38"/>
    </row>
    <row r="31" spans="1:13" x14ac:dyDescent="0.2">
      <c r="A31" s="38"/>
      <c r="B31" s="38"/>
      <c r="C31" s="38"/>
      <c r="D31" s="38"/>
      <c r="E31" s="38"/>
      <c r="F31" s="38"/>
      <c r="G31" s="89"/>
      <c r="H31" s="38"/>
      <c r="I31" s="38"/>
      <c r="J31" s="45"/>
      <c r="K31" s="38"/>
      <c r="L31" s="38"/>
      <c r="M31" s="38"/>
    </row>
    <row r="32" spans="1:13" x14ac:dyDescent="0.2">
      <c r="A32" s="38"/>
      <c r="B32" s="38"/>
      <c r="C32" s="38"/>
      <c r="D32" s="38"/>
      <c r="E32" s="38"/>
      <c r="F32" s="38"/>
      <c r="G32" s="89"/>
      <c r="H32" s="38"/>
      <c r="I32" s="38"/>
      <c r="J32" s="45"/>
      <c r="K32" s="38"/>
      <c r="L32" s="38"/>
      <c r="M32" s="38"/>
    </row>
    <row r="33" spans="1:13" x14ac:dyDescent="0.2">
      <c r="A33" s="38"/>
      <c r="B33" s="38"/>
      <c r="C33" s="38"/>
      <c r="D33" s="38"/>
      <c r="E33" s="38"/>
      <c r="F33" s="38"/>
      <c r="G33" s="89"/>
      <c r="H33" s="38"/>
      <c r="I33" s="38"/>
      <c r="J33" s="45"/>
      <c r="K33" s="38"/>
      <c r="L33" s="38"/>
      <c r="M33" s="38"/>
    </row>
    <row r="34" spans="1:13" x14ac:dyDescent="0.2">
      <c r="A34" s="38"/>
      <c r="B34" s="38"/>
      <c r="C34" s="38"/>
      <c r="D34" s="38"/>
      <c r="E34" s="38"/>
      <c r="F34" s="38"/>
      <c r="G34" s="89"/>
      <c r="H34" s="38"/>
      <c r="I34" s="38"/>
      <c r="J34" s="45"/>
      <c r="K34" s="38"/>
      <c r="L34" s="38"/>
      <c r="M34" s="38"/>
    </row>
    <row r="35" spans="1:13" x14ac:dyDescent="0.2">
      <c r="A35" s="38"/>
      <c r="B35" s="38"/>
      <c r="C35" s="38"/>
      <c r="D35" s="38"/>
      <c r="E35" s="38"/>
      <c r="F35" s="38"/>
      <c r="G35" s="89"/>
      <c r="H35" s="38"/>
      <c r="I35" s="38"/>
      <c r="J35" s="45"/>
      <c r="K35" s="38"/>
      <c r="L35" s="38"/>
      <c r="M35" s="38"/>
    </row>
    <row r="36" spans="1:13" x14ac:dyDescent="0.2">
      <c r="A36" s="38"/>
      <c r="B36" s="38"/>
      <c r="C36" s="38"/>
      <c r="D36" s="38"/>
      <c r="E36" s="38"/>
      <c r="F36" s="38"/>
      <c r="G36" s="89"/>
      <c r="H36" s="38"/>
      <c r="I36" s="38"/>
      <c r="J36" s="45"/>
      <c r="K36" s="38"/>
      <c r="L36" s="38"/>
      <c r="M36" s="38"/>
    </row>
    <row r="37" spans="1:13" x14ac:dyDescent="0.2">
      <c r="A37" s="38"/>
      <c r="B37" s="38"/>
      <c r="C37" s="38"/>
      <c r="D37" s="38"/>
      <c r="E37" s="38"/>
      <c r="F37" s="38"/>
      <c r="G37" s="89"/>
      <c r="H37" s="38"/>
      <c r="I37" s="38"/>
      <c r="J37" s="45"/>
      <c r="K37" s="38"/>
      <c r="L37" s="38"/>
      <c r="M37" s="38"/>
    </row>
    <row r="38" spans="1:13" x14ac:dyDescent="0.2">
      <c r="A38" s="38"/>
      <c r="B38" s="38"/>
      <c r="C38" s="38"/>
      <c r="D38" s="38"/>
      <c r="E38" s="38"/>
      <c r="F38" s="38"/>
      <c r="G38" s="89"/>
      <c r="H38" s="38"/>
      <c r="I38" s="38"/>
      <c r="J38" s="45"/>
      <c r="K38" s="38"/>
      <c r="L38" s="38"/>
      <c r="M38" s="38"/>
    </row>
    <row r="39" spans="1:13" x14ac:dyDescent="0.2">
      <c r="A39" s="38"/>
      <c r="B39" s="38"/>
      <c r="C39" s="38"/>
      <c r="D39" s="38"/>
      <c r="E39" s="38"/>
      <c r="F39" s="38"/>
      <c r="G39" s="89"/>
      <c r="H39" s="38"/>
      <c r="I39" s="38"/>
      <c r="J39" s="45"/>
      <c r="K39" s="38"/>
      <c r="L39" s="38"/>
      <c r="M39" s="38"/>
    </row>
    <row r="40" spans="1:13" x14ac:dyDescent="0.2">
      <c r="A40" s="38"/>
      <c r="B40" s="38"/>
      <c r="C40" s="38"/>
      <c r="D40" s="38"/>
      <c r="E40" s="38"/>
      <c r="F40" s="38"/>
      <c r="G40" s="89"/>
      <c r="H40" s="38"/>
      <c r="I40" s="38"/>
      <c r="J40" s="45"/>
      <c r="K40" s="38"/>
      <c r="L40" s="38"/>
      <c r="M40" s="38"/>
    </row>
    <row r="41" spans="1:13" x14ac:dyDescent="0.2">
      <c r="A41" s="38"/>
      <c r="B41" s="38"/>
      <c r="C41" s="38"/>
      <c r="D41" s="38"/>
      <c r="E41" s="38"/>
      <c r="F41" s="38"/>
      <c r="G41" s="89"/>
      <c r="H41" s="38"/>
      <c r="I41" s="38"/>
      <c r="J41" s="45"/>
      <c r="K41" s="38"/>
      <c r="L41" s="38"/>
      <c r="M41" s="38"/>
    </row>
    <row r="42" spans="1:13" x14ac:dyDescent="0.2">
      <c r="A42" s="38"/>
      <c r="B42" s="38"/>
      <c r="C42" s="38"/>
      <c r="D42" s="38"/>
      <c r="E42" s="38"/>
      <c r="F42" s="38"/>
      <c r="G42" s="89"/>
      <c r="H42" s="38"/>
      <c r="I42" s="38"/>
      <c r="J42" s="45"/>
      <c r="K42" s="38"/>
      <c r="L42" s="38"/>
      <c r="M42" s="38"/>
    </row>
    <row r="43" spans="1:13" x14ac:dyDescent="0.2">
      <c r="A43" s="38"/>
      <c r="B43" s="38"/>
      <c r="C43" s="38"/>
      <c r="D43" s="38"/>
      <c r="E43" s="38"/>
      <c r="F43" s="38"/>
      <c r="G43" s="89"/>
      <c r="H43" s="38"/>
      <c r="I43" s="38"/>
      <c r="J43" s="45"/>
      <c r="K43" s="38"/>
      <c r="L43" s="38"/>
      <c r="M43" s="38"/>
    </row>
    <row r="44" spans="1:13" x14ac:dyDescent="0.2">
      <c r="A44" s="38"/>
      <c r="B44" s="38"/>
      <c r="C44" s="38"/>
      <c r="D44" s="38"/>
      <c r="E44" s="38"/>
      <c r="F44" s="38"/>
      <c r="G44" s="89"/>
      <c r="H44" s="38"/>
      <c r="I44" s="38"/>
      <c r="J44" s="45"/>
      <c r="K44" s="38"/>
      <c r="L44" s="38"/>
      <c r="M44" s="38"/>
    </row>
    <row r="45" spans="1:13" x14ac:dyDescent="0.2">
      <c r="A45" s="38"/>
      <c r="B45" s="38"/>
      <c r="C45" s="38"/>
      <c r="D45" s="38"/>
      <c r="E45" s="38"/>
      <c r="F45" s="38"/>
      <c r="G45" s="89"/>
      <c r="H45" s="38"/>
      <c r="I45" s="38"/>
      <c r="J45" s="45"/>
      <c r="K45" s="38"/>
      <c r="L45" s="38"/>
      <c r="M45" s="38"/>
    </row>
    <row r="46" spans="1:13" x14ac:dyDescent="0.2">
      <c r="A46" s="38"/>
      <c r="B46" s="38"/>
      <c r="C46" s="38"/>
      <c r="D46" s="38"/>
      <c r="E46" s="38"/>
      <c r="F46" s="38"/>
      <c r="G46" s="89"/>
      <c r="H46" s="38"/>
      <c r="I46" s="38"/>
      <c r="J46" s="45"/>
      <c r="K46" s="38"/>
      <c r="L46" s="38"/>
      <c r="M46" s="38"/>
    </row>
    <row r="47" spans="1:13" x14ac:dyDescent="0.2">
      <c r="A47" s="38"/>
      <c r="B47" s="38"/>
      <c r="C47" s="38"/>
      <c r="D47" s="38"/>
      <c r="E47" s="38"/>
      <c r="F47" s="38"/>
      <c r="G47" s="89"/>
      <c r="H47" s="38"/>
      <c r="I47" s="38"/>
      <c r="J47" s="45"/>
      <c r="K47" s="38"/>
      <c r="L47" s="38"/>
      <c r="M47" s="38"/>
    </row>
    <row r="48" spans="1:13" x14ac:dyDescent="0.2">
      <c r="A48" s="38"/>
      <c r="B48" s="38"/>
      <c r="C48" s="38"/>
      <c r="D48" s="38"/>
      <c r="E48" s="38"/>
      <c r="F48" s="38"/>
      <c r="G48" s="89"/>
      <c r="H48" s="38"/>
      <c r="I48" s="38"/>
      <c r="J48" s="45"/>
      <c r="K48" s="38"/>
      <c r="L48" s="38"/>
      <c r="M48" s="38"/>
    </row>
    <row r="49" spans="1:13" x14ac:dyDescent="0.2">
      <c r="A49" s="38"/>
      <c r="B49" s="38"/>
      <c r="C49" s="38"/>
      <c r="D49" s="38"/>
      <c r="E49" s="38"/>
      <c r="F49" s="38"/>
      <c r="G49" s="89"/>
      <c r="H49" s="38"/>
      <c r="I49" s="38"/>
      <c r="J49" s="45"/>
      <c r="K49" s="38"/>
      <c r="L49" s="38"/>
      <c r="M49" s="38"/>
    </row>
    <row r="50" spans="1:13" x14ac:dyDescent="0.2">
      <c r="A50" s="38"/>
      <c r="B50" s="38"/>
      <c r="C50" s="38"/>
      <c r="D50" s="38"/>
      <c r="E50" s="38"/>
      <c r="F50" s="38"/>
      <c r="G50" s="89"/>
      <c r="H50" s="38"/>
      <c r="I50" s="38"/>
      <c r="J50" s="45"/>
      <c r="K50" s="38"/>
      <c r="L50" s="38"/>
      <c r="M50" s="38"/>
    </row>
    <row r="51" spans="1:13" x14ac:dyDescent="0.2">
      <c r="A51" s="38"/>
      <c r="B51" s="38"/>
      <c r="C51" s="38"/>
      <c r="D51" s="38"/>
      <c r="E51" s="38"/>
      <c r="F51" s="38"/>
      <c r="G51" s="89"/>
      <c r="H51" s="38"/>
      <c r="I51" s="38"/>
      <c r="J51" s="45"/>
      <c r="K51" s="38"/>
      <c r="L51" s="38"/>
      <c r="M51" s="38"/>
    </row>
    <row r="52" spans="1:13" x14ac:dyDescent="0.2">
      <c r="A52" s="38"/>
      <c r="B52" s="38"/>
      <c r="C52" s="38"/>
      <c r="D52" s="38"/>
      <c r="E52" s="38"/>
      <c r="F52" s="38"/>
      <c r="G52" s="89"/>
      <c r="H52" s="38"/>
      <c r="I52" s="38"/>
      <c r="J52" s="45"/>
      <c r="K52" s="38"/>
      <c r="L52" s="38"/>
      <c r="M52" s="38"/>
    </row>
    <row r="53" spans="1:13" x14ac:dyDescent="0.2">
      <c r="A53" s="38"/>
      <c r="B53" s="38"/>
      <c r="C53" s="38"/>
      <c r="D53" s="38"/>
      <c r="E53" s="38"/>
      <c r="F53" s="38"/>
      <c r="G53" s="89"/>
      <c r="H53" s="38"/>
      <c r="I53" s="38"/>
      <c r="J53" s="45"/>
      <c r="K53" s="38"/>
      <c r="L53" s="38"/>
      <c r="M53" s="38"/>
    </row>
    <row r="54" spans="1:13" x14ac:dyDescent="0.2">
      <c r="A54" s="38"/>
      <c r="B54" s="38"/>
      <c r="C54" s="38"/>
      <c r="D54" s="38"/>
      <c r="E54" s="38"/>
      <c r="F54" s="38"/>
      <c r="G54" s="89"/>
      <c r="H54" s="38"/>
      <c r="I54" s="38"/>
      <c r="J54" s="45"/>
      <c r="K54" s="38"/>
      <c r="L54" s="38"/>
      <c r="M54" s="38"/>
    </row>
    <row r="55" spans="1:13" x14ac:dyDescent="0.2">
      <c r="A55" s="38"/>
      <c r="B55" s="38"/>
      <c r="C55" s="38"/>
      <c r="D55" s="38"/>
      <c r="E55" s="38"/>
      <c r="F55" s="38"/>
      <c r="G55" s="89"/>
      <c r="H55" s="38"/>
      <c r="I55" s="38"/>
      <c r="J55" s="45"/>
      <c r="K55" s="38"/>
      <c r="L55" s="38"/>
      <c r="M55" s="38"/>
    </row>
    <row r="56" spans="1:13" x14ac:dyDescent="0.2">
      <c r="A56" s="38"/>
      <c r="B56" s="38"/>
      <c r="C56" s="38"/>
      <c r="D56" s="38"/>
      <c r="E56" s="38"/>
      <c r="F56" s="38"/>
      <c r="G56" s="89"/>
      <c r="H56" s="38"/>
      <c r="I56" s="38"/>
      <c r="J56" s="45"/>
      <c r="K56" s="38"/>
      <c r="L56" s="38"/>
      <c r="M56" s="38"/>
    </row>
    <row r="57" spans="1:13" x14ac:dyDescent="0.2">
      <c r="A57" s="38"/>
      <c r="B57" s="38"/>
      <c r="C57" s="38"/>
      <c r="D57" s="38"/>
      <c r="E57" s="38"/>
      <c r="F57" s="38"/>
      <c r="G57" s="89"/>
      <c r="H57" s="38"/>
      <c r="I57" s="38"/>
      <c r="J57" s="45"/>
      <c r="K57" s="38"/>
      <c r="L57" s="38"/>
      <c r="M57" s="38"/>
    </row>
    <row r="58" spans="1:13" x14ac:dyDescent="0.2">
      <c r="A58" s="38"/>
      <c r="B58" s="38"/>
      <c r="C58" s="38"/>
      <c r="D58" s="38"/>
      <c r="E58" s="38"/>
      <c r="F58" s="38"/>
      <c r="G58" s="89"/>
      <c r="H58" s="38"/>
      <c r="I58" s="38"/>
      <c r="J58" s="45"/>
      <c r="K58" s="38"/>
      <c r="L58" s="38"/>
      <c r="M58" s="38"/>
    </row>
    <row r="59" spans="1:13" x14ac:dyDescent="0.2">
      <c r="A59" s="38"/>
      <c r="B59" s="38"/>
      <c r="C59" s="38"/>
      <c r="D59" s="38"/>
      <c r="E59" s="38"/>
      <c r="F59" s="38"/>
      <c r="G59" s="89"/>
      <c r="H59" s="38"/>
      <c r="I59" s="38"/>
      <c r="J59" s="45"/>
      <c r="K59" s="38"/>
      <c r="L59" s="38"/>
      <c r="M59" s="38"/>
    </row>
    <row r="60" spans="1:13" x14ac:dyDescent="0.2">
      <c r="A60" s="38"/>
      <c r="B60" s="38"/>
      <c r="C60" s="38"/>
      <c r="D60" s="38"/>
      <c r="E60" s="38"/>
      <c r="F60" s="38"/>
      <c r="G60" s="89"/>
      <c r="H60" s="38"/>
      <c r="I60" s="38"/>
      <c r="J60" s="45"/>
      <c r="K60" s="38"/>
      <c r="L60" s="38"/>
      <c r="M60" s="38"/>
    </row>
    <row r="61" spans="1:13" x14ac:dyDescent="0.2">
      <c r="A61" s="38"/>
      <c r="B61" s="38"/>
      <c r="C61" s="38"/>
      <c r="D61" s="38"/>
      <c r="E61" s="38"/>
      <c r="F61" s="38"/>
      <c r="G61" s="89"/>
      <c r="H61" s="38"/>
      <c r="I61" s="38"/>
      <c r="J61" s="45"/>
      <c r="K61" s="38"/>
      <c r="L61" s="38"/>
      <c r="M61" s="38"/>
    </row>
    <row r="62" spans="1:13" x14ac:dyDescent="0.2">
      <c r="A62" s="38"/>
      <c r="B62" s="38"/>
      <c r="C62" s="38"/>
      <c r="D62" s="38"/>
      <c r="E62" s="38"/>
      <c r="F62" s="38"/>
      <c r="G62" s="89"/>
      <c r="H62" s="38"/>
      <c r="I62" s="38"/>
      <c r="J62" s="45"/>
      <c r="K62" s="38"/>
      <c r="L62" s="38"/>
      <c r="M62" s="38"/>
    </row>
    <row r="63" spans="1:13" x14ac:dyDescent="0.2">
      <c r="A63" s="38"/>
      <c r="B63" s="38"/>
      <c r="C63" s="38"/>
      <c r="D63" s="38"/>
      <c r="E63" s="38"/>
      <c r="F63" s="38"/>
      <c r="G63" s="89"/>
      <c r="H63" s="38"/>
      <c r="I63" s="38"/>
      <c r="J63" s="45"/>
      <c r="K63" s="38"/>
      <c r="L63" s="38"/>
      <c r="M63" s="38"/>
    </row>
    <row r="64" spans="1:13" x14ac:dyDescent="0.2">
      <c r="A64" s="38"/>
      <c r="B64" s="38"/>
      <c r="C64" s="38"/>
      <c r="D64" s="38"/>
      <c r="E64" s="38"/>
      <c r="F64" s="38"/>
      <c r="G64" s="89"/>
      <c r="H64" s="38"/>
      <c r="I64" s="38"/>
      <c r="J64" s="45"/>
      <c r="K64" s="38"/>
      <c r="L64" s="38"/>
      <c r="M64" s="38"/>
    </row>
    <row r="65" spans="1:13" x14ac:dyDescent="0.2">
      <c r="A65" s="38"/>
      <c r="B65" s="38"/>
      <c r="C65" s="38"/>
      <c r="D65" s="38"/>
      <c r="E65" s="38"/>
      <c r="F65" s="38"/>
      <c r="G65" s="89"/>
      <c r="H65" s="38"/>
      <c r="I65" s="38"/>
      <c r="J65" s="45"/>
      <c r="K65" s="38"/>
      <c r="L65" s="38"/>
      <c r="M65" s="38"/>
    </row>
    <row r="66" spans="1:13" x14ac:dyDescent="0.2">
      <c r="A66" s="38"/>
      <c r="B66" s="38"/>
      <c r="C66" s="38"/>
      <c r="D66" s="38"/>
      <c r="E66" s="38"/>
      <c r="F66" s="38"/>
      <c r="G66" s="89"/>
      <c r="H66" s="38"/>
      <c r="I66" s="38"/>
      <c r="J66" s="45"/>
      <c r="K66" s="38"/>
      <c r="L66" s="38"/>
      <c r="M66" s="38"/>
    </row>
    <row r="67" spans="1:13" x14ac:dyDescent="0.2">
      <c r="A67" s="38"/>
      <c r="B67" s="38"/>
      <c r="C67" s="38"/>
      <c r="D67" s="38"/>
      <c r="E67" s="38"/>
      <c r="F67" s="38"/>
      <c r="G67" s="89"/>
      <c r="H67" s="38"/>
      <c r="I67" s="38"/>
      <c r="J67" s="45"/>
      <c r="K67" s="38"/>
      <c r="L67" s="38"/>
      <c r="M67" s="38"/>
    </row>
    <row r="68" spans="1:13" x14ac:dyDescent="0.2">
      <c r="A68" s="38"/>
      <c r="B68" s="38"/>
      <c r="C68" s="38"/>
      <c r="D68" s="38"/>
      <c r="E68" s="38"/>
      <c r="F68" s="38"/>
      <c r="G68" s="89"/>
      <c r="H68" s="38"/>
      <c r="I68" s="38"/>
      <c r="J68" s="45"/>
      <c r="K68" s="38"/>
      <c r="L68" s="38"/>
      <c r="M68" s="38"/>
    </row>
    <row r="69" spans="1:13" x14ac:dyDescent="0.2">
      <c r="A69" s="38"/>
      <c r="B69" s="38"/>
      <c r="C69" s="38"/>
      <c r="D69" s="38"/>
      <c r="E69" s="38"/>
      <c r="F69" s="38"/>
      <c r="G69" s="89"/>
      <c r="H69" s="38"/>
      <c r="I69" s="38"/>
      <c r="J69" s="45"/>
      <c r="K69" s="38"/>
      <c r="L69" s="38"/>
      <c r="M69" s="38"/>
    </row>
    <row r="70" spans="1:13" x14ac:dyDescent="0.2">
      <c r="A70" s="38"/>
      <c r="B70" s="38"/>
      <c r="C70" s="38"/>
      <c r="D70" s="38"/>
      <c r="E70" s="38"/>
      <c r="F70" s="38"/>
      <c r="G70" s="89"/>
      <c r="H70" s="38"/>
      <c r="I70" s="38"/>
      <c r="J70" s="45"/>
      <c r="K70" s="38"/>
      <c r="L70" s="38"/>
      <c r="M70" s="38"/>
    </row>
    <row r="71" spans="1:13" x14ac:dyDescent="0.2">
      <c r="A71" s="38"/>
      <c r="B71" s="38"/>
      <c r="C71" s="38"/>
      <c r="D71" s="38"/>
      <c r="E71" s="38"/>
      <c r="F71" s="38"/>
      <c r="G71" s="89"/>
      <c r="H71" s="38"/>
      <c r="I71" s="38"/>
      <c r="J71" s="45"/>
      <c r="K71" s="38"/>
      <c r="L71" s="38"/>
      <c r="M71" s="38"/>
    </row>
    <row r="72" spans="1:13" x14ac:dyDescent="0.2">
      <c r="A72" s="38"/>
      <c r="B72" s="38"/>
      <c r="C72" s="38"/>
      <c r="D72" s="38"/>
      <c r="E72" s="38"/>
      <c r="F72" s="38"/>
      <c r="G72" s="89"/>
      <c r="H72" s="38"/>
      <c r="I72" s="38"/>
      <c r="J72" s="45"/>
      <c r="K72" s="38"/>
      <c r="L72" s="38"/>
      <c r="M72" s="38"/>
    </row>
    <row r="73" spans="1:13" x14ac:dyDescent="0.2">
      <c r="A73" s="38"/>
      <c r="B73" s="38"/>
      <c r="C73" s="38"/>
      <c r="D73" s="38"/>
      <c r="E73" s="38"/>
      <c r="F73" s="38"/>
      <c r="G73" s="89"/>
      <c r="H73" s="38"/>
      <c r="I73" s="38"/>
      <c r="J73" s="45"/>
      <c r="K73" s="38"/>
      <c r="L73" s="38"/>
      <c r="M73" s="38"/>
    </row>
    <row r="74" spans="1:13" x14ac:dyDescent="0.2">
      <c r="A74" s="38"/>
      <c r="B74" s="38"/>
      <c r="C74" s="38"/>
      <c r="D74" s="38"/>
      <c r="E74" s="38"/>
      <c r="F74" s="38"/>
      <c r="G74" s="89"/>
      <c r="H74" s="38"/>
      <c r="I74" s="38"/>
      <c r="J74" s="45"/>
      <c r="K74" s="38"/>
      <c r="L74" s="38"/>
      <c r="M74" s="38"/>
    </row>
    <row r="75" spans="1:13" x14ac:dyDescent="0.2">
      <c r="A75" s="38"/>
      <c r="B75" s="38"/>
      <c r="C75" s="38"/>
      <c r="D75" s="38"/>
      <c r="E75" s="38"/>
      <c r="F75" s="38"/>
      <c r="G75" s="89"/>
      <c r="H75" s="38"/>
      <c r="I75" s="38"/>
      <c r="J75" s="45"/>
      <c r="K75" s="38"/>
      <c r="L75" s="38"/>
      <c r="M75" s="38"/>
    </row>
    <row r="76" spans="1:13" x14ac:dyDescent="0.2">
      <c r="A76" s="38"/>
      <c r="B76" s="38"/>
      <c r="C76" s="38"/>
      <c r="D76" s="38"/>
      <c r="E76" s="38"/>
      <c r="F76" s="38"/>
      <c r="G76" s="89"/>
      <c r="H76" s="38"/>
      <c r="I76" s="38"/>
      <c r="J76" s="45"/>
      <c r="K76" s="38"/>
      <c r="L76" s="38"/>
      <c r="M76" s="38"/>
    </row>
    <row r="77" spans="1:13" x14ac:dyDescent="0.2">
      <c r="A77" s="38"/>
      <c r="B77" s="38"/>
      <c r="C77" s="38"/>
      <c r="D77" s="38"/>
      <c r="E77" s="38"/>
      <c r="F77" s="38"/>
      <c r="G77" s="89"/>
      <c r="H77" s="38"/>
      <c r="I77" s="38"/>
      <c r="J77" s="45"/>
      <c r="K77" s="38"/>
      <c r="L77" s="38"/>
      <c r="M77" s="38"/>
    </row>
    <row r="78" spans="1:13" x14ac:dyDescent="0.2">
      <c r="A78" s="38"/>
      <c r="B78" s="38"/>
      <c r="C78" s="38"/>
      <c r="D78" s="38"/>
      <c r="E78" s="38"/>
      <c r="F78" s="38"/>
      <c r="G78" s="89"/>
      <c r="H78" s="38"/>
      <c r="I78" s="38"/>
      <c r="J78" s="45"/>
      <c r="K78" s="38"/>
      <c r="L78" s="38"/>
      <c r="M78" s="38"/>
    </row>
    <row r="79" spans="1:13" x14ac:dyDescent="0.2">
      <c r="A79" s="38"/>
      <c r="B79" s="38"/>
      <c r="C79" s="38"/>
      <c r="D79" s="38"/>
      <c r="E79" s="38"/>
      <c r="F79" s="38"/>
      <c r="G79" s="89"/>
      <c r="H79" s="38"/>
      <c r="I79" s="38"/>
      <c r="J79" s="45"/>
      <c r="K79" s="38"/>
      <c r="L79" s="38"/>
      <c r="M79" s="38"/>
    </row>
    <row r="80" spans="1:13" x14ac:dyDescent="0.2">
      <c r="A80" s="38"/>
      <c r="B80" s="38"/>
      <c r="C80" s="38"/>
      <c r="D80" s="38"/>
      <c r="E80" s="38"/>
      <c r="F80" s="38"/>
      <c r="G80" s="89"/>
      <c r="H80" s="38"/>
      <c r="I80" s="38"/>
      <c r="J80" s="45"/>
      <c r="K80" s="38"/>
      <c r="L80" s="38"/>
      <c r="M80" s="38"/>
    </row>
    <row r="81" spans="1:13" x14ac:dyDescent="0.2">
      <c r="A81" s="38"/>
      <c r="B81" s="38"/>
      <c r="C81" s="38"/>
      <c r="D81" s="38"/>
      <c r="E81" s="38"/>
      <c r="F81" s="38"/>
      <c r="G81" s="89"/>
      <c r="H81" s="38"/>
      <c r="I81" s="38"/>
      <c r="J81" s="45"/>
      <c r="K81" s="38"/>
      <c r="L81" s="38"/>
      <c r="M81" s="38"/>
    </row>
    <row r="82" spans="1:13" x14ac:dyDescent="0.2">
      <c r="A82" s="38"/>
      <c r="B82" s="38"/>
      <c r="C82" s="38"/>
      <c r="D82" s="38"/>
      <c r="E82" s="38"/>
      <c r="F82" s="38"/>
      <c r="G82" s="89"/>
      <c r="H82" s="38"/>
      <c r="I82" s="38"/>
      <c r="J82" s="45"/>
      <c r="K82" s="38"/>
      <c r="L82" s="38"/>
      <c r="M82" s="38"/>
    </row>
    <row r="83" spans="1:13" x14ac:dyDescent="0.2">
      <c r="A83" s="38"/>
      <c r="B83" s="38"/>
      <c r="C83" s="38"/>
      <c r="D83" s="38"/>
      <c r="E83" s="38"/>
      <c r="F83" s="38"/>
      <c r="G83" s="89"/>
      <c r="H83" s="38"/>
      <c r="I83" s="38"/>
      <c r="J83" s="45"/>
      <c r="K83" s="38"/>
      <c r="L83" s="38"/>
      <c r="M83" s="38"/>
    </row>
    <row r="84" spans="1:13" x14ac:dyDescent="0.2">
      <c r="A84" s="38"/>
      <c r="B84" s="38"/>
      <c r="C84" s="38"/>
      <c r="D84" s="38"/>
      <c r="E84" s="38"/>
      <c r="F84" s="38"/>
      <c r="G84" s="89"/>
      <c r="H84" s="38"/>
      <c r="I84" s="38"/>
      <c r="J84" s="45"/>
      <c r="K84" s="38"/>
      <c r="L84" s="38"/>
      <c r="M84" s="38"/>
    </row>
    <row r="85" spans="1:13" x14ac:dyDescent="0.2">
      <c r="A85" s="38"/>
      <c r="B85" s="38"/>
      <c r="C85" s="38"/>
      <c r="D85" s="38"/>
      <c r="E85" s="38"/>
      <c r="F85" s="38"/>
      <c r="G85" s="89"/>
      <c r="H85" s="38"/>
      <c r="I85" s="38"/>
      <c r="J85" s="45"/>
      <c r="K85" s="38"/>
      <c r="L85" s="38"/>
      <c r="M85" s="38"/>
    </row>
    <row r="86" spans="1:13" x14ac:dyDescent="0.2">
      <c r="A86" s="38"/>
      <c r="B86" s="38"/>
      <c r="C86" s="38"/>
      <c r="D86" s="38"/>
      <c r="E86" s="38"/>
      <c r="F86" s="38"/>
      <c r="G86" s="89"/>
      <c r="H86" s="38"/>
      <c r="I86" s="38"/>
      <c r="J86" s="45"/>
      <c r="K86" s="38"/>
      <c r="L86" s="38"/>
      <c r="M86" s="38"/>
    </row>
    <row r="87" spans="1:13" x14ac:dyDescent="0.2">
      <c r="A87" s="38"/>
      <c r="B87" s="38"/>
      <c r="C87" s="38"/>
      <c r="D87" s="38"/>
      <c r="E87" s="38"/>
      <c r="F87" s="38"/>
      <c r="G87" s="89"/>
      <c r="H87" s="38"/>
      <c r="I87" s="38"/>
      <c r="J87" s="45"/>
      <c r="K87" s="38"/>
      <c r="L87" s="38"/>
      <c r="M87" s="38"/>
    </row>
    <row r="88" spans="1:13" x14ac:dyDescent="0.2">
      <c r="A88" s="38"/>
      <c r="B88" s="38"/>
      <c r="C88" s="38"/>
      <c r="D88" s="38"/>
      <c r="E88" s="38"/>
      <c r="F88" s="38"/>
      <c r="G88" s="89"/>
      <c r="H88" s="38"/>
      <c r="I88" s="38"/>
      <c r="J88" s="45"/>
      <c r="K88" s="38"/>
      <c r="L88" s="38"/>
      <c r="M88" s="38"/>
    </row>
    <row r="89" spans="1:13" x14ac:dyDescent="0.2">
      <c r="A89" s="38"/>
      <c r="B89" s="38"/>
      <c r="C89" s="38"/>
      <c r="D89" s="38"/>
      <c r="E89" s="38"/>
      <c r="F89" s="38"/>
      <c r="G89" s="89"/>
      <c r="H89" s="38"/>
      <c r="I89" s="38"/>
      <c r="J89" s="45"/>
      <c r="K89" s="38"/>
      <c r="L89" s="38"/>
      <c r="M89" s="38"/>
    </row>
    <row r="90" spans="1:13" x14ac:dyDescent="0.2">
      <c r="A90" s="38"/>
      <c r="B90" s="38"/>
      <c r="C90" s="38"/>
      <c r="D90" s="38"/>
      <c r="E90" s="38"/>
      <c r="F90" s="38"/>
      <c r="G90" s="89"/>
      <c r="H90" s="38"/>
      <c r="I90" s="38"/>
      <c r="J90" s="45"/>
      <c r="K90" s="38"/>
      <c r="L90" s="38"/>
      <c r="M90" s="38"/>
    </row>
    <row r="91" spans="1:13" x14ac:dyDescent="0.2">
      <c r="A91" s="38"/>
      <c r="B91" s="38"/>
      <c r="C91" s="38"/>
      <c r="D91" s="38"/>
      <c r="E91" s="38"/>
      <c r="F91" s="38"/>
      <c r="G91" s="89"/>
      <c r="H91" s="38"/>
      <c r="I91" s="38"/>
      <c r="J91" s="45"/>
      <c r="K91" s="38"/>
      <c r="L91" s="38"/>
      <c r="M91" s="38"/>
    </row>
    <row r="92" spans="1:13" x14ac:dyDescent="0.2">
      <c r="A92" s="38"/>
      <c r="B92" s="38"/>
      <c r="C92" s="38"/>
      <c r="D92" s="38"/>
      <c r="E92" s="38"/>
      <c r="F92" s="38"/>
      <c r="G92" s="89"/>
      <c r="H92" s="38"/>
      <c r="I92" s="38"/>
      <c r="J92" s="45"/>
      <c r="K92" s="38"/>
      <c r="L92" s="38"/>
      <c r="M92" s="38"/>
    </row>
    <row r="93" spans="1:13" x14ac:dyDescent="0.2">
      <c r="A93" s="38"/>
      <c r="B93" s="38"/>
      <c r="C93" s="38"/>
      <c r="D93" s="38"/>
      <c r="E93" s="38"/>
      <c r="F93" s="38"/>
      <c r="G93" s="89"/>
      <c r="H93" s="38"/>
      <c r="I93" s="38"/>
      <c r="J93" s="45"/>
      <c r="K93" s="38"/>
      <c r="L93" s="38"/>
      <c r="M93" s="38"/>
    </row>
    <row r="94" spans="1:13" x14ac:dyDescent="0.2">
      <c r="A94" s="38"/>
      <c r="B94" s="38"/>
      <c r="C94" s="38"/>
      <c r="D94" s="38"/>
      <c r="E94" s="38"/>
      <c r="F94" s="38"/>
      <c r="G94" s="89"/>
      <c r="H94" s="38"/>
      <c r="I94" s="38"/>
      <c r="J94" s="45"/>
      <c r="K94" s="38"/>
      <c r="L94" s="38"/>
      <c r="M94" s="38"/>
    </row>
    <row r="95" spans="1:13" x14ac:dyDescent="0.2">
      <c r="A95" s="38"/>
      <c r="B95" s="38"/>
      <c r="C95" s="38"/>
      <c r="D95" s="38"/>
      <c r="E95" s="38"/>
      <c r="F95" s="38"/>
      <c r="G95" s="89"/>
      <c r="H95" s="38"/>
      <c r="I95" s="38"/>
      <c r="J95" s="45"/>
      <c r="K95" s="38"/>
      <c r="L95" s="38"/>
      <c r="M95" s="38"/>
    </row>
    <row r="96" spans="1:13" x14ac:dyDescent="0.2">
      <c r="A96" s="38"/>
      <c r="B96" s="38"/>
      <c r="C96" s="38"/>
      <c r="D96" s="38"/>
      <c r="E96" s="38"/>
      <c r="F96" s="38"/>
      <c r="G96" s="89"/>
      <c r="H96" s="38"/>
      <c r="I96" s="38"/>
      <c r="J96" s="45"/>
      <c r="K96" s="38"/>
      <c r="L96" s="38"/>
      <c r="M96" s="38"/>
    </row>
    <row r="97" spans="1:13" x14ac:dyDescent="0.2">
      <c r="A97" s="38"/>
      <c r="B97" s="38"/>
      <c r="C97" s="38"/>
      <c r="D97" s="38"/>
      <c r="E97" s="38"/>
      <c r="F97" s="38"/>
      <c r="G97" s="89"/>
      <c r="H97" s="38"/>
      <c r="I97" s="38"/>
      <c r="J97" s="45"/>
      <c r="K97" s="38"/>
      <c r="L97" s="38"/>
      <c r="M97" s="38"/>
    </row>
    <row r="98" spans="1:13" x14ac:dyDescent="0.2">
      <c r="A98" s="38"/>
      <c r="B98" s="38"/>
      <c r="C98" s="38"/>
      <c r="D98" s="38"/>
      <c r="E98" s="38"/>
      <c r="F98" s="38"/>
      <c r="G98" s="89"/>
      <c r="H98" s="38"/>
      <c r="I98" s="38"/>
      <c r="J98" s="45"/>
      <c r="K98" s="38"/>
      <c r="L98" s="38"/>
      <c r="M98" s="38"/>
    </row>
    <row r="99" spans="1:13" x14ac:dyDescent="0.2">
      <c r="A99" s="38"/>
      <c r="B99" s="38"/>
      <c r="C99" s="38"/>
      <c r="D99" s="38"/>
      <c r="E99" s="38"/>
      <c r="F99" s="38"/>
      <c r="G99" s="89"/>
      <c r="H99" s="38"/>
      <c r="I99" s="38"/>
      <c r="J99" s="45"/>
      <c r="K99" s="38"/>
      <c r="L99" s="38"/>
      <c r="M99" s="38"/>
    </row>
    <row r="100" spans="1:13" x14ac:dyDescent="0.2">
      <c r="A100" s="38"/>
      <c r="B100" s="38"/>
      <c r="C100" s="38"/>
      <c r="D100" s="38"/>
      <c r="E100" s="38"/>
      <c r="F100" s="38"/>
      <c r="G100" s="89"/>
      <c r="H100" s="38"/>
      <c r="I100" s="38"/>
      <c r="J100" s="45"/>
      <c r="K100" s="38"/>
      <c r="L100" s="38"/>
      <c r="M100" s="38"/>
    </row>
    <row r="101" spans="1:13" x14ac:dyDescent="0.2">
      <c r="A101" s="38"/>
      <c r="B101" s="38"/>
      <c r="C101" s="38"/>
      <c r="D101" s="38"/>
      <c r="E101" s="38"/>
      <c r="F101" s="38"/>
      <c r="G101" s="89"/>
      <c r="H101" s="38"/>
      <c r="I101" s="38"/>
      <c r="J101" s="45"/>
      <c r="K101" s="38"/>
      <c r="L101" s="38"/>
      <c r="M101" s="38"/>
    </row>
    <row r="102" spans="1:13" x14ac:dyDescent="0.2">
      <c r="A102" s="38"/>
      <c r="B102" s="38"/>
      <c r="C102" s="38"/>
      <c r="D102" s="38"/>
      <c r="E102" s="38"/>
      <c r="F102" s="38"/>
      <c r="G102" s="89"/>
      <c r="H102" s="38"/>
      <c r="I102" s="38"/>
      <c r="J102" s="45"/>
      <c r="K102" s="38"/>
      <c r="L102" s="38"/>
      <c r="M102" s="38"/>
    </row>
    <row r="103" spans="1:13" x14ac:dyDescent="0.2">
      <c r="A103" s="38"/>
      <c r="B103" s="38"/>
      <c r="C103" s="38"/>
      <c r="D103" s="38"/>
      <c r="E103" s="38"/>
      <c r="F103" s="38"/>
      <c r="G103" s="89"/>
      <c r="H103" s="38"/>
      <c r="I103" s="38"/>
      <c r="J103" s="45"/>
      <c r="K103" s="38"/>
      <c r="L103" s="38"/>
      <c r="M103" s="38"/>
    </row>
    <row r="104" spans="1:13" x14ac:dyDescent="0.2">
      <c r="A104" s="38"/>
      <c r="B104" s="38"/>
      <c r="C104" s="38"/>
      <c r="D104" s="38"/>
      <c r="E104" s="38"/>
      <c r="F104" s="38"/>
      <c r="G104" s="89"/>
      <c r="H104" s="38"/>
      <c r="I104" s="38"/>
      <c r="J104" s="45"/>
      <c r="K104" s="38"/>
      <c r="L104" s="38"/>
      <c r="M104" s="38"/>
    </row>
    <row r="105" spans="1:13" x14ac:dyDescent="0.2">
      <c r="A105" s="38"/>
      <c r="B105" s="38"/>
      <c r="C105" s="38"/>
      <c r="D105" s="38"/>
      <c r="E105" s="38"/>
      <c r="F105" s="38"/>
      <c r="G105" s="89"/>
      <c r="H105" s="38"/>
      <c r="I105" s="38"/>
      <c r="J105" s="45"/>
      <c r="K105" s="38"/>
      <c r="L105" s="38"/>
      <c r="M105" s="38"/>
    </row>
    <row r="106" spans="1:13" x14ac:dyDescent="0.2">
      <c r="A106" s="38"/>
      <c r="B106" s="38"/>
      <c r="C106" s="38"/>
      <c r="D106" s="38"/>
      <c r="E106" s="38"/>
      <c r="F106" s="38"/>
      <c r="G106" s="89"/>
      <c r="H106" s="38"/>
      <c r="I106" s="38"/>
      <c r="J106" s="45"/>
      <c r="K106" s="38"/>
      <c r="L106" s="38"/>
      <c r="M106" s="38"/>
    </row>
    <row r="107" spans="1:13" x14ac:dyDescent="0.2">
      <c r="A107" s="38"/>
      <c r="B107" s="38"/>
      <c r="C107" s="38"/>
      <c r="D107" s="38"/>
      <c r="E107" s="38"/>
      <c r="F107" s="38"/>
      <c r="G107" s="89"/>
      <c r="H107" s="38"/>
      <c r="I107" s="38"/>
      <c r="J107" s="45"/>
      <c r="K107" s="38"/>
      <c r="L107" s="38"/>
      <c r="M107" s="38"/>
    </row>
    <row r="108" spans="1:13" x14ac:dyDescent="0.2">
      <c r="A108" s="38"/>
      <c r="B108" s="38"/>
      <c r="C108" s="38"/>
      <c r="D108" s="38"/>
      <c r="E108" s="38"/>
      <c r="F108" s="38"/>
      <c r="G108" s="89"/>
      <c r="H108" s="38"/>
      <c r="I108" s="38"/>
      <c r="J108" s="45"/>
      <c r="K108" s="38"/>
      <c r="L108" s="38"/>
      <c r="M108" s="38"/>
    </row>
    <row r="109" spans="1:13" x14ac:dyDescent="0.2">
      <c r="A109" s="38"/>
      <c r="B109" s="38"/>
      <c r="C109" s="38"/>
      <c r="D109" s="38"/>
      <c r="E109" s="38"/>
      <c r="F109" s="38"/>
      <c r="G109" s="89"/>
      <c r="H109" s="38"/>
      <c r="I109" s="38"/>
      <c r="J109" s="45"/>
      <c r="K109" s="38"/>
      <c r="L109" s="38"/>
      <c r="M109" s="38"/>
    </row>
    <row r="110" spans="1:13" x14ac:dyDescent="0.2">
      <c r="A110" s="38"/>
      <c r="B110" s="38"/>
      <c r="C110" s="38"/>
      <c r="D110" s="38"/>
      <c r="E110" s="38"/>
      <c r="F110" s="38"/>
      <c r="G110" s="89"/>
      <c r="H110" s="38"/>
      <c r="I110" s="38"/>
      <c r="J110" s="45"/>
      <c r="K110" s="38"/>
      <c r="L110" s="38"/>
      <c r="M110" s="38"/>
    </row>
    <row r="111" spans="1:13" x14ac:dyDescent="0.2">
      <c r="A111" s="38"/>
      <c r="B111" s="38"/>
      <c r="C111" s="38"/>
      <c r="D111" s="38"/>
      <c r="E111" s="38"/>
      <c r="F111" s="38"/>
      <c r="G111" s="89"/>
      <c r="H111" s="38"/>
      <c r="I111" s="38"/>
      <c r="J111" s="45"/>
      <c r="K111" s="38"/>
      <c r="L111" s="38"/>
      <c r="M111" s="38"/>
    </row>
    <row r="112" spans="1:13" x14ac:dyDescent="0.2">
      <c r="A112" s="38"/>
      <c r="B112" s="38"/>
      <c r="C112" s="38"/>
      <c r="D112" s="38"/>
      <c r="E112" s="38"/>
      <c r="F112" s="38"/>
      <c r="G112" s="89"/>
      <c r="H112" s="38"/>
      <c r="I112" s="38"/>
      <c r="J112" s="45"/>
      <c r="K112" s="38"/>
      <c r="L112" s="38"/>
      <c r="M112" s="38"/>
    </row>
    <row r="113" spans="1:13" x14ac:dyDescent="0.2">
      <c r="A113" s="38"/>
      <c r="B113" s="38"/>
      <c r="C113" s="38"/>
      <c r="D113" s="38"/>
      <c r="E113" s="38"/>
      <c r="F113" s="38"/>
      <c r="G113" s="89"/>
      <c r="H113" s="38"/>
      <c r="I113" s="38"/>
      <c r="J113" s="45"/>
      <c r="K113" s="38"/>
      <c r="L113" s="38"/>
      <c r="M113" s="38"/>
    </row>
    <row r="114" spans="1:13" x14ac:dyDescent="0.2">
      <c r="A114" s="38"/>
      <c r="B114" s="38"/>
      <c r="C114" s="38"/>
      <c r="D114" s="38"/>
      <c r="E114" s="38"/>
      <c r="F114" s="38"/>
      <c r="G114" s="89"/>
      <c r="H114" s="38"/>
      <c r="I114" s="38"/>
      <c r="J114" s="45"/>
      <c r="K114" s="38"/>
      <c r="L114" s="38"/>
      <c r="M114" s="38"/>
    </row>
    <row r="115" spans="1:13" x14ac:dyDescent="0.2">
      <c r="A115" s="38"/>
      <c r="B115" s="38"/>
      <c r="C115" s="38"/>
      <c r="D115" s="38"/>
      <c r="E115" s="38"/>
      <c r="F115" s="38"/>
      <c r="G115" s="89"/>
      <c r="H115" s="38"/>
      <c r="I115" s="38"/>
      <c r="J115" s="45"/>
      <c r="K115" s="38"/>
      <c r="L115" s="38"/>
      <c r="M115" s="38"/>
    </row>
    <row r="116" spans="1:13" x14ac:dyDescent="0.2">
      <c r="A116" s="38"/>
      <c r="B116" s="38"/>
      <c r="C116" s="38"/>
      <c r="D116" s="38"/>
      <c r="E116" s="38"/>
      <c r="F116" s="38"/>
      <c r="G116" s="89"/>
      <c r="H116" s="38"/>
      <c r="I116" s="38"/>
      <c r="J116" s="45"/>
      <c r="K116" s="38"/>
      <c r="L116" s="38"/>
      <c r="M116" s="38"/>
    </row>
    <row r="117" spans="1:13" x14ac:dyDescent="0.2">
      <c r="A117" s="38"/>
      <c r="B117" s="38"/>
      <c r="C117" s="38"/>
      <c r="D117" s="38"/>
      <c r="E117" s="38"/>
      <c r="F117" s="38"/>
      <c r="G117" s="89"/>
      <c r="H117" s="38"/>
      <c r="I117" s="38"/>
      <c r="J117" s="45"/>
      <c r="K117" s="38"/>
      <c r="L117" s="38"/>
      <c r="M117" s="38"/>
    </row>
    <row r="118" spans="1:13" x14ac:dyDescent="0.2">
      <c r="A118" s="38"/>
      <c r="B118" s="38"/>
      <c r="C118" s="38"/>
      <c r="D118" s="38"/>
      <c r="E118" s="38"/>
      <c r="F118" s="38"/>
      <c r="G118" s="89"/>
      <c r="H118" s="38"/>
      <c r="I118" s="38"/>
      <c r="J118" s="45"/>
      <c r="K118" s="38"/>
      <c r="L118" s="38"/>
      <c r="M118" s="38"/>
    </row>
    <row r="119" spans="1:13" x14ac:dyDescent="0.2">
      <c r="A119" s="38"/>
      <c r="B119" s="38"/>
      <c r="C119" s="38"/>
      <c r="D119" s="38"/>
      <c r="E119" s="38"/>
      <c r="F119" s="38"/>
      <c r="G119" s="89"/>
      <c r="H119" s="38"/>
      <c r="I119" s="38"/>
      <c r="J119" s="45"/>
      <c r="K119" s="38"/>
      <c r="L119" s="38"/>
      <c r="M119" s="38"/>
    </row>
    <row r="120" spans="1:13" x14ac:dyDescent="0.2">
      <c r="A120" s="38"/>
      <c r="B120" s="38"/>
      <c r="C120" s="38"/>
      <c r="D120" s="38"/>
      <c r="E120" s="38"/>
      <c r="F120" s="38"/>
      <c r="G120" s="89"/>
      <c r="H120" s="38"/>
      <c r="I120" s="38"/>
      <c r="J120" s="45"/>
      <c r="K120" s="38"/>
      <c r="L120" s="38"/>
      <c r="M120" s="38"/>
    </row>
    <row r="121" spans="1:13" x14ac:dyDescent="0.2">
      <c r="A121" s="38"/>
      <c r="B121" s="38"/>
      <c r="C121" s="38"/>
      <c r="D121" s="38"/>
      <c r="E121" s="38"/>
      <c r="F121" s="38"/>
      <c r="G121" s="89"/>
      <c r="H121" s="38"/>
      <c r="I121" s="38"/>
      <c r="J121" s="45"/>
      <c r="K121" s="38"/>
      <c r="L121" s="38"/>
      <c r="M121" s="38"/>
    </row>
    <row r="122" spans="1:13" x14ac:dyDescent="0.2">
      <c r="A122" s="38"/>
      <c r="B122" s="38"/>
      <c r="C122" s="38"/>
      <c r="D122" s="38"/>
      <c r="E122" s="38"/>
      <c r="F122" s="38"/>
      <c r="G122" s="89"/>
      <c r="H122" s="38"/>
      <c r="I122" s="38"/>
      <c r="J122" s="45"/>
      <c r="K122" s="38"/>
      <c r="L122" s="38"/>
      <c r="M122" s="38"/>
    </row>
    <row r="123" spans="1:13" x14ac:dyDescent="0.2">
      <c r="A123" s="38"/>
      <c r="B123" s="38"/>
      <c r="C123" s="38"/>
      <c r="D123" s="38"/>
      <c r="E123" s="38"/>
      <c r="F123" s="38"/>
      <c r="G123" s="89"/>
      <c r="H123" s="38"/>
      <c r="I123" s="38"/>
      <c r="J123" s="45"/>
      <c r="K123" s="38"/>
      <c r="L123" s="38"/>
      <c r="M123" s="38"/>
    </row>
    <row r="124" spans="1:13" x14ac:dyDescent="0.2">
      <c r="A124" s="38"/>
      <c r="B124" s="38"/>
      <c r="C124" s="38"/>
      <c r="D124" s="38"/>
      <c r="E124" s="38"/>
      <c r="F124" s="38"/>
      <c r="G124" s="89"/>
      <c r="H124" s="38"/>
      <c r="I124" s="38"/>
      <c r="J124" s="45"/>
      <c r="K124" s="38"/>
      <c r="L124" s="38"/>
      <c r="M124" s="38"/>
    </row>
    <row r="125" spans="1:13" x14ac:dyDescent="0.2">
      <c r="A125" s="38"/>
      <c r="B125" s="38"/>
      <c r="C125" s="38"/>
      <c r="D125" s="38"/>
      <c r="E125" s="38"/>
      <c r="F125" s="38"/>
      <c r="G125" s="89"/>
      <c r="H125" s="38"/>
      <c r="I125" s="38"/>
      <c r="J125" s="45"/>
      <c r="K125" s="38"/>
      <c r="L125" s="38"/>
      <c r="M125" s="38"/>
    </row>
    <row r="126" spans="1:13" x14ac:dyDescent="0.2">
      <c r="A126" s="38"/>
      <c r="B126" s="38"/>
      <c r="C126" s="38"/>
      <c r="D126" s="38"/>
      <c r="E126" s="38"/>
      <c r="F126" s="38"/>
      <c r="G126" s="89"/>
      <c r="H126" s="38"/>
      <c r="I126" s="38"/>
      <c r="J126" s="45"/>
      <c r="K126" s="38"/>
      <c r="L126" s="38"/>
      <c r="M126" s="38"/>
    </row>
    <row r="127" spans="1:13" x14ac:dyDescent="0.2">
      <c r="A127" s="38"/>
      <c r="B127" s="38"/>
      <c r="C127" s="38"/>
      <c r="D127" s="38"/>
      <c r="E127" s="38"/>
      <c r="F127" s="38"/>
      <c r="G127" s="89"/>
      <c r="H127" s="38"/>
      <c r="I127" s="38"/>
      <c r="J127" s="45"/>
      <c r="K127" s="38"/>
      <c r="L127" s="38"/>
      <c r="M127" s="38"/>
    </row>
    <row r="128" spans="1:13" x14ac:dyDescent="0.2">
      <c r="A128" s="38"/>
      <c r="B128" s="38"/>
      <c r="C128" s="38"/>
      <c r="D128" s="38"/>
      <c r="E128" s="38"/>
      <c r="F128" s="38"/>
      <c r="G128" s="89"/>
      <c r="H128" s="38"/>
      <c r="I128" s="38"/>
      <c r="J128" s="45"/>
      <c r="K128" s="38"/>
      <c r="L128" s="38"/>
      <c r="M128" s="38"/>
    </row>
    <row r="129" spans="1:13" x14ac:dyDescent="0.2">
      <c r="A129" s="38"/>
      <c r="B129" s="38"/>
      <c r="C129" s="38"/>
      <c r="D129" s="38"/>
      <c r="E129" s="38"/>
      <c r="F129" s="38"/>
      <c r="G129" s="89"/>
      <c r="H129" s="38"/>
      <c r="I129" s="38"/>
      <c r="J129" s="45"/>
      <c r="K129" s="38"/>
      <c r="L129" s="38"/>
      <c r="M129" s="38"/>
    </row>
    <row r="130" spans="1:13" x14ac:dyDescent="0.2">
      <c r="A130" s="38"/>
      <c r="B130" s="38"/>
      <c r="C130" s="38"/>
      <c r="D130" s="38"/>
      <c r="E130" s="38"/>
      <c r="F130" s="38"/>
      <c r="G130" s="89"/>
      <c r="H130" s="38"/>
      <c r="I130" s="38"/>
      <c r="J130" s="45"/>
      <c r="K130" s="38"/>
      <c r="L130" s="38"/>
      <c r="M130" s="38"/>
    </row>
    <row r="131" spans="1:13" x14ac:dyDescent="0.2">
      <c r="A131" s="38"/>
      <c r="B131" s="38"/>
      <c r="C131" s="38"/>
      <c r="D131" s="38"/>
      <c r="E131" s="38"/>
      <c r="F131" s="38"/>
      <c r="G131" s="89"/>
      <c r="H131" s="38"/>
      <c r="I131" s="38"/>
      <c r="J131" s="45"/>
      <c r="K131" s="38"/>
      <c r="L131" s="38"/>
      <c r="M131" s="38"/>
    </row>
    <row r="132" spans="1:13" x14ac:dyDescent="0.2">
      <c r="A132" s="38"/>
      <c r="B132" s="38"/>
      <c r="C132" s="38"/>
      <c r="D132" s="38"/>
      <c r="E132" s="38"/>
      <c r="F132" s="38"/>
      <c r="G132" s="89"/>
      <c r="H132" s="38"/>
      <c r="I132" s="38"/>
      <c r="J132" s="45"/>
      <c r="K132" s="38"/>
      <c r="L132" s="38"/>
      <c r="M132" s="38"/>
    </row>
    <row r="133" spans="1:13" x14ac:dyDescent="0.2">
      <c r="A133" s="38"/>
      <c r="B133" s="38"/>
      <c r="C133" s="38"/>
      <c r="D133" s="38"/>
      <c r="E133" s="38"/>
      <c r="F133" s="38"/>
      <c r="G133" s="89"/>
      <c r="H133" s="38"/>
      <c r="I133" s="38"/>
      <c r="J133" s="45"/>
      <c r="K133" s="38"/>
      <c r="L133" s="38"/>
      <c r="M133" s="38"/>
    </row>
    <row r="134" spans="1:13" x14ac:dyDescent="0.2">
      <c r="A134" s="38"/>
      <c r="B134" s="38"/>
      <c r="C134" s="38"/>
      <c r="D134" s="38"/>
      <c r="E134" s="38"/>
      <c r="F134" s="38"/>
      <c r="G134" s="89"/>
      <c r="H134" s="38"/>
      <c r="I134" s="38"/>
      <c r="J134" s="45"/>
      <c r="K134" s="38"/>
      <c r="L134" s="38"/>
      <c r="M134" s="38"/>
    </row>
    <row r="135" spans="1:13" x14ac:dyDescent="0.2">
      <c r="A135" s="38"/>
      <c r="B135" s="38"/>
      <c r="C135" s="38"/>
      <c r="D135" s="38"/>
      <c r="E135" s="38"/>
      <c r="F135" s="38"/>
      <c r="G135" s="89"/>
      <c r="H135" s="38"/>
      <c r="I135" s="38"/>
      <c r="J135" s="45"/>
      <c r="K135" s="38"/>
      <c r="L135" s="38"/>
      <c r="M135" s="38"/>
    </row>
    <row r="136" spans="1:13" x14ac:dyDescent="0.2">
      <c r="A136" s="38"/>
      <c r="B136" s="38"/>
      <c r="C136" s="38"/>
      <c r="D136" s="38"/>
      <c r="E136" s="38"/>
      <c r="F136" s="38"/>
      <c r="G136" s="89"/>
      <c r="H136" s="38"/>
      <c r="I136" s="38"/>
      <c r="J136" s="45"/>
      <c r="K136" s="38"/>
      <c r="L136" s="38"/>
      <c r="M136" s="38"/>
    </row>
    <row r="137" spans="1:13" x14ac:dyDescent="0.2">
      <c r="A137" s="38"/>
      <c r="B137" s="38"/>
      <c r="C137" s="38"/>
      <c r="D137" s="38"/>
      <c r="E137" s="38"/>
      <c r="F137" s="38"/>
      <c r="G137" s="89"/>
      <c r="H137" s="38"/>
      <c r="I137" s="38"/>
      <c r="J137" s="45"/>
      <c r="K137" s="38"/>
      <c r="L137" s="38"/>
      <c r="M137" s="38"/>
    </row>
    <row r="138" spans="1:13" x14ac:dyDescent="0.2">
      <c r="A138" s="38"/>
      <c r="B138" s="38"/>
      <c r="C138" s="38"/>
      <c r="D138" s="38"/>
      <c r="E138" s="38"/>
      <c r="F138" s="38"/>
      <c r="G138" s="89"/>
      <c r="H138" s="38"/>
      <c r="I138" s="38"/>
      <c r="J138" s="45"/>
      <c r="K138" s="38"/>
      <c r="L138" s="38"/>
      <c r="M138" s="38"/>
    </row>
    <row r="139" spans="1:13" x14ac:dyDescent="0.2">
      <c r="A139" s="38"/>
      <c r="B139" s="38"/>
      <c r="C139" s="38"/>
      <c r="D139" s="38"/>
      <c r="E139" s="38"/>
      <c r="F139" s="38"/>
      <c r="G139" s="89"/>
      <c r="H139" s="38"/>
      <c r="I139" s="38"/>
      <c r="J139" s="45"/>
      <c r="K139" s="38"/>
      <c r="L139" s="38"/>
      <c r="M139" s="38"/>
    </row>
    <row r="140" spans="1:13" x14ac:dyDescent="0.2">
      <c r="A140" s="38"/>
      <c r="B140" s="38"/>
      <c r="C140" s="38"/>
      <c r="D140" s="38"/>
      <c r="E140" s="38"/>
      <c r="F140" s="38"/>
      <c r="G140" s="89"/>
      <c r="H140" s="38"/>
      <c r="I140" s="38"/>
      <c r="J140" s="45"/>
      <c r="K140" s="38"/>
      <c r="L140" s="38"/>
      <c r="M140" s="38"/>
    </row>
    <row r="141" spans="1:13" x14ac:dyDescent="0.2">
      <c r="A141" s="38"/>
      <c r="B141" s="38"/>
      <c r="C141" s="38"/>
      <c r="D141" s="38"/>
      <c r="E141" s="38"/>
      <c r="F141" s="38"/>
      <c r="G141" s="89"/>
      <c r="H141" s="38"/>
      <c r="I141" s="38"/>
      <c r="J141" s="45"/>
      <c r="K141" s="38"/>
      <c r="L141" s="38"/>
      <c r="M141" s="38"/>
    </row>
    <row r="142" spans="1:13" x14ac:dyDescent="0.2">
      <c r="A142" s="38"/>
      <c r="B142" s="38"/>
      <c r="C142" s="38"/>
      <c r="D142" s="38"/>
      <c r="E142" s="38"/>
      <c r="F142" s="38"/>
      <c r="G142" s="89"/>
      <c r="H142" s="38"/>
      <c r="I142" s="38"/>
      <c r="J142" s="45"/>
      <c r="K142" s="38"/>
      <c r="L142" s="38"/>
      <c r="M142" s="38"/>
    </row>
    <row r="143" spans="1:13" x14ac:dyDescent="0.2">
      <c r="A143" s="38"/>
      <c r="B143" s="38"/>
      <c r="C143" s="38"/>
      <c r="D143" s="38"/>
      <c r="E143" s="38"/>
      <c r="F143" s="38"/>
      <c r="G143" s="89"/>
      <c r="H143" s="38"/>
      <c r="I143" s="38"/>
      <c r="J143" s="45"/>
      <c r="K143" s="38"/>
      <c r="L143" s="38"/>
      <c r="M143" s="38"/>
    </row>
    <row r="144" spans="1:13" x14ac:dyDescent="0.2">
      <c r="A144" s="38"/>
      <c r="B144" s="38"/>
      <c r="C144" s="38"/>
      <c r="D144" s="38"/>
      <c r="E144" s="38"/>
      <c r="F144" s="38"/>
      <c r="G144" s="89"/>
      <c r="H144" s="38"/>
      <c r="I144" s="38"/>
      <c r="J144" s="45"/>
      <c r="K144" s="38"/>
      <c r="L144" s="38"/>
      <c r="M144" s="38"/>
    </row>
    <row r="145" spans="1:13" x14ac:dyDescent="0.2">
      <c r="A145" s="38"/>
      <c r="B145" s="38"/>
      <c r="C145" s="38"/>
      <c r="D145" s="38"/>
      <c r="E145" s="38"/>
      <c r="F145" s="38"/>
      <c r="G145" s="89"/>
      <c r="H145" s="38"/>
      <c r="I145" s="38"/>
      <c r="J145" s="45"/>
      <c r="K145" s="38"/>
      <c r="L145" s="38"/>
      <c r="M145" s="38"/>
    </row>
    <row r="146" spans="1:13" x14ac:dyDescent="0.2">
      <c r="A146" s="38"/>
      <c r="B146" s="38"/>
      <c r="C146" s="38"/>
      <c r="D146" s="38"/>
      <c r="E146" s="38"/>
      <c r="F146" s="38"/>
      <c r="G146" s="89"/>
      <c r="H146" s="38"/>
      <c r="I146" s="38"/>
      <c r="J146" s="45"/>
      <c r="K146" s="38"/>
      <c r="L146" s="38"/>
      <c r="M146" s="38"/>
    </row>
    <row r="147" spans="1:13" x14ac:dyDescent="0.2">
      <c r="A147" s="38"/>
      <c r="B147" s="38"/>
      <c r="C147" s="38"/>
      <c r="D147" s="38"/>
      <c r="E147" s="38"/>
      <c r="F147" s="38"/>
      <c r="G147" s="89"/>
      <c r="H147" s="38"/>
      <c r="I147" s="38"/>
      <c r="J147" s="45"/>
      <c r="K147" s="38"/>
      <c r="L147" s="38"/>
      <c r="M147" s="38"/>
    </row>
    <row r="148" spans="1:13" x14ac:dyDescent="0.2">
      <c r="A148" s="38"/>
      <c r="B148" s="38"/>
      <c r="C148" s="38"/>
      <c r="D148" s="38"/>
      <c r="E148" s="38"/>
      <c r="F148" s="38"/>
      <c r="G148" s="89"/>
      <c r="H148" s="38"/>
      <c r="I148" s="38"/>
      <c r="J148" s="45"/>
      <c r="K148" s="38"/>
      <c r="L148" s="38"/>
      <c r="M148" s="38"/>
    </row>
    <row r="149" spans="1:13" x14ac:dyDescent="0.2">
      <c r="A149" s="38"/>
      <c r="B149" s="38"/>
      <c r="C149" s="38"/>
      <c r="D149" s="38"/>
      <c r="E149" s="38"/>
      <c r="F149" s="38"/>
      <c r="G149" s="89"/>
      <c r="H149" s="38"/>
      <c r="I149" s="38"/>
      <c r="J149" s="45"/>
      <c r="K149" s="38"/>
      <c r="L149" s="38"/>
      <c r="M149" s="38"/>
    </row>
    <row r="150" spans="1:13" x14ac:dyDescent="0.2">
      <c r="A150" s="38"/>
      <c r="B150" s="38"/>
      <c r="C150" s="38"/>
      <c r="D150" s="38"/>
      <c r="E150" s="38"/>
      <c r="F150" s="38"/>
      <c r="G150" s="89"/>
      <c r="H150" s="38"/>
      <c r="I150" s="38"/>
      <c r="J150" s="45"/>
      <c r="K150" s="38"/>
      <c r="L150" s="38"/>
      <c r="M150" s="38"/>
    </row>
    <row r="151" spans="1:13" x14ac:dyDescent="0.2">
      <c r="A151" s="38"/>
      <c r="B151" s="38"/>
      <c r="C151" s="38"/>
      <c r="D151" s="38"/>
      <c r="E151" s="38"/>
      <c r="F151" s="38"/>
      <c r="G151" s="89"/>
      <c r="H151" s="38"/>
      <c r="I151" s="38"/>
      <c r="J151" s="45"/>
      <c r="K151" s="38"/>
      <c r="L151" s="38"/>
      <c r="M151" s="38"/>
    </row>
    <row r="152" spans="1:13" x14ac:dyDescent="0.2">
      <c r="A152" s="38"/>
      <c r="B152" s="38"/>
      <c r="C152" s="38"/>
      <c r="D152" s="38"/>
      <c r="E152" s="38"/>
      <c r="F152" s="38"/>
      <c r="G152" s="89"/>
      <c r="H152" s="38"/>
      <c r="I152" s="38"/>
      <c r="J152" s="45"/>
      <c r="K152" s="38"/>
      <c r="L152" s="38"/>
      <c r="M152" s="38"/>
    </row>
    <row r="153" spans="1:13" x14ac:dyDescent="0.2">
      <c r="A153" s="38"/>
      <c r="B153" s="38"/>
      <c r="C153" s="38"/>
      <c r="D153" s="38"/>
      <c r="E153" s="38"/>
      <c r="F153" s="38"/>
      <c r="G153" s="89"/>
      <c r="H153" s="38"/>
      <c r="I153" s="38"/>
      <c r="J153" s="45"/>
      <c r="K153" s="38"/>
      <c r="L153" s="38"/>
      <c r="M153" s="38"/>
    </row>
    <row r="154" spans="1:13" x14ac:dyDescent="0.2">
      <c r="A154" s="38"/>
      <c r="B154" s="38"/>
      <c r="C154" s="38"/>
      <c r="D154" s="38"/>
      <c r="E154" s="38"/>
      <c r="F154" s="38"/>
      <c r="G154" s="89"/>
      <c r="H154" s="38"/>
      <c r="I154" s="38"/>
      <c r="J154" s="45"/>
      <c r="K154" s="38"/>
      <c r="L154" s="38"/>
      <c r="M154" s="38"/>
    </row>
    <row r="155" spans="1:13" x14ac:dyDescent="0.2">
      <c r="A155" s="38"/>
      <c r="B155" s="38"/>
      <c r="C155" s="38"/>
      <c r="D155" s="38"/>
      <c r="E155" s="38"/>
      <c r="F155" s="38"/>
      <c r="G155" s="89"/>
      <c r="H155" s="38"/>
      <c r="I155" s="38"/>
      <c r="J155" s="45"/>
      <c r="K155" s="38"/>
      <c r="L155" s="38"/>
      <c r="M155" s="38"/>
    </row>
    <row r="156" spans="1:13" x14ac:dyDescent="0.2">
      <c r="A156" s="38"/>
      <c r="B156" s="38"/>
      <c r="C156" s="38"/>
      <c r="D156" s="38"/>
      <c r="E156" s="38"/>
      <c r="F156" s="38"/>
      <c r="G156" s="89"/>
      <c r="H156" s="38"/>
      <c r="I156" s="38"/>
      <c r="J156" s="45"/>
      <c r="K156" s="38"/>
      <c r="L156" s="38"/>
      <c r="M156" s="38"/>
    </row>
    <row r="157" spans="1:13" x14ac:dyDescent="0.2">
      <c r="A157" s="38"/>
      <c r="B157" s="38"/>
      <c r="C157" s="38"/>
      <c r="D157" s="38"/>
      <c r="E157" s="38"/>
      <c r="F157" s="38"/>
      <c r="G157" s="89"/>
      <c r="H157" s="38"/>
      <c r="I157" s="38"/>
      <c r="J157" s="45"/>
      <c r="K157" s="38"/>
      <c r="L157" s="38"/>
      <c r="M157" s="38"/>
    </row>
    <row r="158" spans="1:13" x14ac:dyDescent="0.2">
      <c r="A158" s="38"/>
      <c r="B158" s="38"/>
      <c r="C158" s="38"/>
      <c r="D158" s="38"/>
      <c r="E158" s="38"/>
      <c r="F158" s="38"/>
      <c r="G158" s="89"/>
      <c r="H158" s="38"/>
      <c r="I158" s="38"/>
      <c r="J158" s="45"/>
      <c r="K158" s="38"/>
      <c r="L158" s="38"/>
      <c r="M158" s="38"/>
    </row>
    <row r="159" spans="1:13" x14ac:dyDescent="0.2">
      <c r="A159" s="38"/>
      <c r="B159" s="38"/>
      <c r="C159" s="38"/>
      <c r="D159" s="38"/>
      <c r="E159" s="38"/>
      <c r="F159" s="38"/>
      <c r="G159" s="89"/>
      <c r="H159" s="38"/>
      <c r="I159" s="38"/>
      <c r="J159" s="45"/>
      <c r="K159" s="38"/>
      <c r="L159" s="38"/>
      <c r="M159" s="38"/>
    </row>
    <row r="160" spans="1:13" x14ac:dyDescent="0.2">
      <c r="A160" s="38"/>
      <c r="B160" s="38"/>
      <c r="C160" s="38"/>
      <c r="D160" s="38"/>
      <c r="E160" s="38"/>
      <c r="F160" s="38"/>
      <c r="G160" s="89"/>
      <c r="H160" s="38"/>
      <c r="I160" s="38"/>
      <c r="J160" s="45"/>
      <c r="K160" s="38"/>
      <c r="L160" s="38"/>
      <c r="M160" s="38"/>
    </row>
    <row r="161" spans="1:13" x14ac:dyDescent="0.2">
      <c r="A161" s="38"/>
      <c r="B161" s="38"/>
      <c r="C161" s="38"/>
      <c r="D161" s="38"/>
      <c r="E161" s="38"/>
      <c r="F161" s="38"/>
      <c r="G161" s="89"/>
      <c r="H161" s="38"/>
      <c r="I161" s="38"/>
      <c r="J161" s="45"/>
      <c r="K161" s="38"/>
      <c r="L161" s="38"/>
      <c r="M161" s="38"/>
    </row>
    <row r="162" spans="1:13" x14ac:dyDescent="0.2">
      <c r="A162" s="38"/>
      <c r="B162" s="38"/>
      <c r="C162" s="38"/>
      <c r="D162" s="38"/>
      <c r="E162" s="38"/>
      <c r="F162" s="38"/>
      <c r="G162" s="89"/>
      <c r="H162" s="38"/>
      <c r="I162" s="38"/>
      <c r="J162" s="45"/>
      <c r="K162" s="38"/>
      <c r="L162" s="38"/>
      <c r="M162" s="38"/>
    </row>
    <row r="163" spans="1:13" x14ac:dyDescent="0.2">
      <c r="A163" s="38"/>
      <c r="B163" s="38"/>
      <c r="C163" s="38"/>
      <c r="D163" s="38"/>
      <c r="E163" s="38"/>
      <c r="F163" s="38"/>
      <c r="G163" s="89"/>
      <c r="H163" s="38"/>
      <c r="I163" s="38"/>
      <c r="J163" s="45"/>
      <c r="K163" s="38"/>
      <c r="L163" s="38"/>
      <c r="M163" s="38"/>
    </row>
    <row r="164" spans="1:13" x14ac:dyDescent="0.2">
      <c r="A164" s="38"/>
      <c r="B164" s="38"/>
      <c r="C164" s="38"/>
      <c r="D164" s="38"/>
      <c r="E164" s="38"/>
      <c r="F164" s="38"/>
      <c r="G164" s="89"/>
      <c r="H164" s="38"/>
      <c r="I164" s="38"/>
      <c r="J164" s="45"/>
      <c r="K164" s="38"/>
      <c r="L164" s="38"/>
      <c r="M164" s="38"/>
    </row>
    <row r="165" spans="1:13" x14ac:dyDescent="0.2">
      <c r="A165" s="38"/>
      <c r="B165" s="38"/>
      <c r="C165" s="38"/>
      <c r="D165" s="38"/>
      <c r="E165" s="38"/>
      <c r="F165" s="38"/>
      <c r="G165" s="89"/>
      <c r="H165" s="38"/>
      <c r="I165" s="38"/>
      <c r="J165" s="45"/>
      <c r="K165" s="38"/>
      <c r="L165" s="38"/>
      <c r="M165" s="38"/>
    </row>
    <row r="166" spans="1:13" x14ac:dyDescent="0.2">
      <c r="A166" s="38"/>
      <c r="B166" s="38"/>
      <c r="C166" s="38"/>
      <c r="D166" s="38"/>
      <c r="E166" s="38"/>
      <c r="F166" s="38"/>
      <c r="G166" s="89"/>
      <c r="H166" s="38"/>
      <c r="I166" s="38"/>
      <c r="J166" s="45"/>
      <c r="K166" s="38"/>
      <c r="L166" s="38"/>
      <c r="M166" s="38"/>
    </row>
    <row r="167" spans="1:13" x14ac:dyDescent="0.2">
      <c r="A167" s="38"/>
      <c r="B167" s="38"/>
      <c r="C167" s="38"/>
      <c r="D167" s="38"/>
      <c r="E167" s="38"/>
      <c r="F167" s="38"/>
      <c r="G167" s="89"/>
      <c r="H167" s="38"/>
      <c r="I167" s="38"/>
      <c r="J167" s="45"/>
      <c r="K167" s="38"/>
      <c r="L167" s="38"/>
      <c r="M167" s="38"/>
    </row>
    <row r="168" spans="1:13" x14ac:dyDescent="0.2">
      <c r="A168" s="38"/>
      <c r="B168" s="38"/>
      <c r="C168" s="38"/>
      <c r="D168" s="38"/>
      <c r="E168" s="38"/>
      <c r="F168" s="38"/>
      <c r="G168" s="89"/>
      <c r="H168" s="38"/>
      <c r="I168" s="38"/>
      <c r="J168" s="45"/>
      <c r="K168" s="38"/>
      <c r="L168" s="38"/>
      <c r="M168" s="38"/>
    </row>
    <row r="169" spans="1:13" x14ac:dyDescent="0.2">
      <c r="A169" s="38"/>
      <c r="B169" s="38"/>
      <c r="C169" s="38"/>
      <c r="D169" s="38"/>
      <c r="E169" s="38"/>
      <c r="F169" s="38"/>
      <c r="G169" s="89"/>
      <c r="H169" s="38"/>
      <c r="I169" s="38"/>
      <c r="J169" s="45"/>
      <c r="K169" s="38"/>
      <c r="L169" s="38"/>
      <c r="M169" s="38"/>
    </row>
    <row r="170" spans="1:13" x14ac:dyDescent="0.2">
      <c r="A170" s="38"/>
      <c r="B170" s="38"/>
      <c r="C170" s="38"/>
      <c r="D170" s="38"/>
      <c r="E170" s="38"/>
      <c r="F170" s="38"/>
      <c r="G170" s="89"/>
      <c r="H170" s="38"/>
      <c r="I170" s="38"/>
      <c r="J170" s="45"/>
      <c r="K170" s="38"/>
      <c r="L170" s="38"/>
      <c r="M170" s="38"/>
    </row>
    <row r="171" spans="1:13" x14ac:dyDescent="0.2">
      <c r="A171" s="38"/>
      <c r="B171" s="38"/>
      <c r="C171" s="38"/>
      <c r="D171" s="38"/>
      <c r="E171" s="38"/>
      <c r="F171" s="38"/>
      <c r="G171" s="89"/>
      <c r="H171" s="38"/>
      <c r="I171" s="38"/>
      <c r="J171" s="45"/>
      <c r="K171" s="38"/>
      <c r="L171" s="38"/>
      <c r="M171" s="38"/>
    </row>
    <row r="172" spans="1:13" x14ac:dyDescent="0.2">
      <c r="A172" s="38"/>
      <c r="B172" s="38"/>
      <c r="C172" s="38"/>
      <c r="D172" s="38"/>
      <c r="E172" s="38"/>
      <c r="F172" s="38"/>
      <c r="G172" s="89"/>
      <c r="H172" s="38"/>
      <c r="I172" s="38"/>
      <c r="J172" s="45"/>
      <c r="K172" s="38"/>
      <c r="L172" s="38"/>
      <c r="M172" s="38"/>
    </row>
    <row r="173" spans="1:13" x14ac:dyDescent="0.2">
      <c r="A173" s="38"/>
      <c r="B173" s="38"/>
      <c r="C173" s="38"/>
      <c r="D173" s="38"/>
      <c r="E173" s="38"/>
      <c r="F173" s="38"/>
      <c r="G173" s="89"/>
      <c r="H173" s="38"/>
      <c r="I173" s="38"/>
      <c r="J173" s="45"/>
      <c r="K173" s="38"/>
      <c r="L173" s="38"/>
      <c r="M173" s="38"/>
    </row>
    <row r="174" spans="1:13" x14ac:dyDescent="0.2">
      <c r="A174" s="38"/>
      <c r="B174" s="38"/>
      <c r="C174" s="38"/>
      <c r="D174" s="38"/>
      <c r="E174" s="38"/>
      <c r="F174" s="38"/>
      <c r="G174" s="89"/>
      <c r="H174" s="38"/>
      <c r="I174" s="38"/>
      <c r="J174" s="45"/>
      <c r="K174" s="38"/>
      <c r="L174" s="38"/>
      <c r="M174" s="38"/>
    </row>
    <row r="175" spans="1:13" x14ac:dyDescent="0.2">
      <c r="A175" s="38"/>
      <c r="B175" s="38"/>
      <c r="C175" s="38"/>
      <c r="D175" s="38"/>
      <c r="E175" s="38"/>
      <c r="F175" s="38"/>
      <c r="G175" s="89"/>
      <c r="H175" s="38"/>
      <c r="I175" s="38"/>
      <c r="J175" s="45"/>
      <c r="K175" s="38"/>
      <c r="L175" s="38"/>
      <c r="M175" s="38"/>
    </row>
    <row r="176" spans="1:13" x14ac:dyDescent="0.2">
      <c r="A176" s="38"/>
      <c r="B176" s="38"/>
      <c r="C176" s="38"/>
      <c r="D176" s="38"/>
      <c r="E176" s="38"/>
      <c r="F176" s="38"/>
      <c r="G176" s="89"/>
      <c r="H176" s="38"/>
      <c r="I176" s="38"/>
      <c r="J176" s="45"/>
      <c r="K176" s="38"/>
      <c r="L176" s="38"/>
      <c r="M176" s="38"/>
    </row>
    <row r="177" spans="1:13" x14ac:dyDescent="0.2">
      <c r="A177" s="38"/>
      <c r="B177" s="38"/>
      <c r="C177" s="38"/>
      <c r="D177" s="38"/>
      <c r="E177" s="38"/>
      <c r="F177" s="38"/>
      <c r="G177" s="89"/>
      <c r="H177" s="38"/>
      <c r="I177" s="38"/>
      <c r="J177" s="45"/>
      <c r="K177" s="38"/>
      <c r="L177" s="38"/>
      <c r="M177" s="38"/>
    </row>
    <row r="178" spans="1:13" x14ac:dyDescent="0.2">
      <c r="A178" s="38"/>
      <c r="B178" s="38"/>
      <c r="C178" s="38"/>
      <c r="D178" s="38"/>
      <c r="E178" s="38"/>
      <c r="F178" s="38"/>
      <c r="G178" s="89"/>
      <c r="H178" s="38"/>
      <c r="I178" s="38"/>
      <c r="J178" s="45"/>
      <c r="K178" s="38"/>
      <c r="L178" s="38"/>
      <c r="M178" s="38"/>
    </row>
    <row r="179" spans="1:13" x14ac:dyDescent="0.2">
      <c r="A179" s="38"/>
      <c r="B179" s="38"/>
      <c r="C179" s="38"/>
      <c r="D179" s="38"/>
      <c r="E179" s="38"/>
      <c r="F179" s="38"/>
      <c r="G179" s="89"/>
      <c r="H179" s="38"/>
      <c r="I179" s="38"/>
      <c r="J179" s="45"/>
      <c r="K179" s="38"/>
      <c r="L179" s="38"/>
      <c r="M179" s="38"/>
    </row>
    <row r="180" spans="1:13" x14ac:dyDescent="0.2">
      <c r="A180" s="38"/>
      <c r="B180" s="38"/>
      <c r="C180" s="38"/>
      <c r="D180" s="38"/>
      <c r="E180" s="38"/>
      <c r="F180" s="38"/>
      <c r="G180" s="89"/>
      <c r="H180" s="38"/>
      <c r="I180" s="38"/>
      <c r="J180" s="45"/>
      <c r="K180" s="38"/>
      <c r="L180" s="38"/>
      <c r="M180" s="38"/>
    </row>
    <row r="181" spans="1:13" x14ac:dyDescent="0.2">
      <c r="A181" s="38"/>
      <c r="B181" s="38"/>
      <c r="C181" s="38"/>
      <c r="D181" s="38"/>
      <c r="E181" s="38"/>
      <c r="F181" s="38"/>
      <c r="G181" s="89"/>
      <c r="H181" s="38"/>
      <c r="I181" s="38"/>
      <c r="J181" s="45"/>
      <c r="K181" s="38"/>
      <c r="L181" s="38"/>
      <c r="M181" s="38"/>
    </row>
    <row r="182" spans="1:13" x14ac:dyDescent="0.2">
      <c r="A182" s="38"/>
      <c r="B182" s="38"/>
      <c r="C182" s="38"/>
      <c r="D182" s="38"/>
      <c r="E182" s="38"/>
      <c r="F182" s="38"/>
      <c r="G182" s="89"/>
      <c r="H182" s="38"/>
      <c r="I182" s="38"/>
      <c r="J182" s="45"/>
      <c r="K182" s="38"/>
      <c r="L182" s="38"/>
      <c r="M182" s="38"/>
    </row>
    <row r="183" spans="1:13" x14ac:dyDescent="0.2">
      <c r="A183" s="38"/>
      <c r="B183" s="38"/>
      <c r="C183" s="38"/>
      <c r="D183" s="38"/>
      <c r="E183" s="38"/>
      <c r="F183" s="38"/>
      <c r="G183" s="89"/>
      <c r="H183" s="38"/>
      <c r="I183" s="38"/>
      <c r="J183" s="45"/>
      <c r="K183" s="38"/>
      <c r="L183" s="38"/>
      <c r="M183" s="38"/>
    </row>
    <row r="184" spans="1:13" x14ac:dyDescent="0.2">
      <c r="A184" s="38"/>
      <c r="B184" s="38"/>
      <c r="C184" s="38"/>
      <c r="D184" s="38"/>
      <c r="E184" s="38"/>
      <c r="F184" s="38"/>
      <c r="G184" s="89"/>
      <c r="H184" s="38"/>
      <c r="I184" s="38"/>
      <c r="J184" s="45"/>
      <c r="K184" s="38"/>
      <c r="L184" s="38"/>
      <c r="M184" s="38"/>
    </row>
    <row r="185" spans="1:13" x14ac:dyDescent="0.2">
      <c r="A185" s="38"/>
      <c r="B185" s="38"/>
      <c r="C185" s="38"/>
      <c r="D185" s="38"/>
      <c r="E185" s="38"/>
      <c r="F185" s="38"/>
      <c r="G185" s="89"/>
      <c r="H185" s="38"/>
      <c r="I185" s="38"/>
      <c r="J185" s="45"/>
      <c r="K185" s="38"/>
      <c r="L185" s="38"/>
      <c r="M185" s="38"/>
    </row>
    <row r="186" spans="1:13" x14ac:dyDescent="0.2">
      <c r="A186" s="38"/>
      <c r="B186" s="38"/>
      <c r="C186" s="38"/>
      <c r="D186" s="38"/>
      <c r="E186" s="38"/>
      <c r="F186" s="38"/>
      <c r="G186" s="89"/>
      <c r="H186" s="38"/>
      <c r="I186" s="38"/>
      <c r="J186" s="45"/>
      <c r="K186" s="38"/>
      <c r="L186" s="38"/>
      <c r="M186" s="38"/>
    </row>
    <row r="187" spans="1:13" x14ac:dyDescent="0.2">
      <c r="A187" s="38"/>
      <c r="B187" s="38"/>
      <c r="C187" s="38"/>
      <c r="D187" s="38"/>
      <c r="E187" s="38"/>
      <c r="F187" s="38"/>
      <c r="G187" s="89"/>
      <c r="H187" s="38"/>
      <c r="I187" s="38"/>
      <c r="J187" s="45"/>
      <c r="K187" s="38"/>
      <c r="L187" s="38"/>
      <c r="M187" s="38"/>
    </row>
    <row r="188" spans="1:13" x14ac:dyDescent="0.2">
      <c r="A188" s="38"/>
      <c r="B188" s="38"/>
      <c r="C188" s="38"/>
      <c r="D188" s="38"/>
      <c r="E188" s="38"/>
      <c r="F188" s="38"/>
      <c r="G188" s="89"/>
      <c r="H188" s="38"/>
      <c r="I188" s="38"/>
      <c r="J188" s="45"/>
      <c r="K188" s="38"/>
      <c r="L188" s="38"/>
      <c r="M188" s="38"/>
    </row>
    <row r="189" spans="1:13" x14ac:dyDescent="0.2">
      <c r="A189" s="38"/>
      <c r="B189" s="38"/>
      <c r="C189" s="38"/>
      <c r="D189" s="38"/>
      <c r="E189" s="38"/>
      <c r="F189" s="38"/>
      <c r="G189" s="89"/>
      <c r="H189" s="38"/>
      <c r="I189" s="38"/>
      <c r="J189" s="45"/>
      <c r="K189" s="38"/>
      <c r="L189" s="38"/>
      <c r="M189" s="38"/>
    </row>
    <row r="190" spans="1:13" x14ac:dyDescent="0.2">
      <c r="A190" s="38"/>
      <c r="B190" s="38"/>
      <c r="C190" s="38"/>
      <c r="D190" s="38"/>
      <c r="E190" s="38"/>
      <c r="F190" s="38"/>
      <c r="G190" s="89"/>
      <c r="H190" s="38"/>
      <c r="I190" s="38"/>
      <c r="J190" s="45"/>
      <c r="K190" s="38"/>
      <c r="L190" s="38"/>
      <c r="M190" s="38"/>
    </row>
    <row r="191" spans="1:13" x14ac:dyDescent="0.2">
      <c r="A191" s="38"/>
      <c r="B191" s="38"/>
      <c r="C191" s="38"/>
      <c r="D191" s="38"/>
      <c r="E191" s="38"/>
      <c r="F191" s="38"/>
      <c r="G191" s="89"/>
      <c r="H191" s="38"/>
      <c r="I191" s="38"/>
      <c r="J191" s="45"/>
      <c r="K191" s="38"/>
      <c r="L191" s="38"/>
      <c r="M191" s="38"/>
    </row>
    <row r="192" spans="1:13" x14ac:dyDescent="0.2">
      <c r="A192" s="38"/>
      <c r="B192" s="38"/>
      <c r="C192" s="38"/>
      <c r="D192" s="38"/>
      <c r="E192" s="38"/>
      <c r="F192" s="38"/>
      <c r="G192" s="89"/>
      <c r="H192" s="38"/>
      <c r="I192" s="38"/>
      <c r="J192" s="45"/>
      <c r="K192" s="38"/>
      <c r="L192" s="38"/>
      <c r="M192" s="38"/>
    </row>
    <row r="193" spans="1:13" x14ac:dyDescent="0.2">
      <c r="A193" s="38"/>
      <c r="B193" s="38"/>
      <c r="C193" s="38"/>
      <c r="D193" s="38"/>
      <c r="E193" s="38"/>
      <c r="F193" s="38"/>
      <c r="G193" s="89"/>
      <c r="H193" s="38"/>
      <c r="I193" s="38"/>
      <c r="J193" s="45"/>
      <c r="K193" s="38"/>
      <c r="L193" s="38"/>
      <c r="M193" s="38"/>
    </row>
    <row r="194" spans="1:13" x14ac:dyDescent="0.2">
      <c r="A194" s="38"/>
      <c r="B194" s="38"/>
      <c r="C194" s="38"/>
      <c r="D194" s="38"/>
      <c r="E194" s="38"/>
      <c r="F194" s="38"/>
      <c r="G194" s="89"/>
      <c r="H194" s="38"/>
      <c r="I194" s="38"/>
      <c r="J194" s="45"/>
      <c r="K194" s="38"/>
      <c r="L194" s="38"/>
      <c r="M194" s="38"/>
    </row>
    <row r="195" spans="1:13" x14ac:dyDescent="0.2">
      <c r="A195" s="38"/>
      <c r="B195" s="38"/>
      <c r="C195" s="38"/>
      <c r="D195" s="38"/>
      <c r="E195" s="38"/>
      <c r="F195" s="38"/>
      <c r="G195" s="89"/>
      <c r="H195" s="38"/>
      <c r="I195" s="38"/>
      <c r="J195" s="45"/>
      <c r="K195" s="38"/>
      <c r="L195" s="38"/>
      <c r="M195" s="38"/>
    </row>
    <row r="196" spans="1:13" x14ac:dyDescent="0.2">
      <c r="A196" s="38"/>
      <c r="B196" s="38"/>
      <c r="C196" s="38"/>
      <c r="D196" s="38"/>
      <c r="E196" s="38"/>
      <c r="F196" s="38"/>
      <c r="G196" s="89"/>
      <c r="H196" s="38"/>
      <c r="I196" s="38"/>
      <c r="J196" s="45"/>
      <c r="K196" s="38"/>
      <c r="L196" s="38"/>
      <c r="M196" s="38"/>
    </row>
    <row r="197" spans="1:13" x14ac:dyDescent="0.2">
      <c r="A197" s="38"/>
      <c r="B197" s="38"/>
      <c r="C197" s="38"/>
      <c r="D197" s="38"/>
      <c r="E197" s="38"/>
      <c r="F197" s="38"/>
      <c r="G197" s="89"/>
      <c r="H197" s="38"/>
      <c r="I197" s="38"/>
      <c r="J197" s="45"/>
      <c r="K197" s="38"/>
      <c r="L197" s="38"/>
      <c r="M197" s="38"/>
    </row>
    <row r="198" spans="1:13" x14ac:dyDescent="0.2">
      <c r="A198" s="38"/>
      <c r="B198" s="38"/>
      <c r="C198" s="38"/>
      <c r="D198" s="38"/>
      <c r="E198" s="38"/>
      <c r="F198" s="38"/>
      <c r="G198" s="89"/>
      <c r="H198" s="38"/>
      <c r="I198" s="38"/>
      <c r="J198" s="45"/>
      <c r="K198" s="38"/>
      <c r="L198" s="38"/>
      <c r="M198" s="38"/>
    </row>
    <row r="199" spans="1:13" x14ac:dyDescent="0.2">
      <c r="A199" s="38"/>
      <c r="B199" s="38"/>
      <c r="C199" s="38"/>
      <c r="D199" s="38"/>
      <c r="E199" s="38"/>
      <c r="F199" s="38"/>
      <c r="G199" s="89"/>
      <c r="H199" s="38"/>
      <c r="I199" s="38"/>
      <c r="J199" s="45"/>
      <c r="K199" s="38"/>
      <c r="L199" s="38"/>
      <c r="M199" s="38"/>
    </row>
    <row r="200" spans="1:13" x14ac:dyDescent="0.2">
      <c r="A200" s="38"/>
      <c r="B200" s="38"/>
      <c r="C200" s="38"/>
      <c r="D200" s="38"/>
      <c r="E200" s="38"/>
      <c r="F200" s="38"/>
      <c r="G200" s="89"/>
      <c r="H200" s="38"/>
      <c r="I200" s="38"/>
      <c r="J200" s="45"/>
      <c r="K200" s="38"/>
      <c r="L200" s="38"/>
      <c r="M200" s="38"/>
    </row>
    <row r="201" spans="1:13" x14ac:dyDescent="0.2">
      <c r="A201" s="38"/>
      <c r="B201" s="38"/>
      <c r="C201" s="38"/>
      <c r="D201" s="38"/>
      <c r="E201" s="38"/>
      <c r="F201" s="38"/>
      <c r="G201" s="89"/>
      <c r="H201" s="38"/>
      <c r="I201" s="38"/>
      <c r="J201" s="45"/>
      <c r="K201" s="38"/>
      <c r="L201" s="38"/>
      <c r="M201" s="38"/>
    </row>
    <row r="202" spans="1:13" x14ac:dyDescent="0.2">
      <c r="A202" s="38"/>
      <c r="B202" s="38"/>
      <c r="C202" s="38"/>
      <c r="D202" s="38"/>
      <c r="E202" s="38"/>
      <c r="F202" s="38"/>
      <c r="G202" s="89"/>
      <c r="H202" s="38"/>
      <c r="I202" s="38"/>
      <c r="J202" s="45"/>
      <c r="K202" s="38"/>
      <c r="L202" s="38"/>
      <c r="M202" s="38"/>
    </row>
    <row r="203" spans="1:13" x14ac:dyDescent="0.2">
      <c r="A203" s="38"/>
      <c r="B203" s="38"/>
      <c r="C203" s="38"/>
      <c r="D203" s="38"/>
      <c r="E203" s="38"/>
      <c r="F203" s="38"/>
      <c r="G203" s="89"/>
      <c r="H203" s="38"/>
      <c r="I203" s="38"/>
      <c r="J203" s="45"/>
      <c r="K203" s="38"/>
      <c r="L203" s="38"/>
      <c r="M203" s="38"/>
    </row>
    <row r="204" spans="1:13" x14ac:dyDescent="0.2">
      <c r="A204" s="38"/>
      <c r="B204" s="38"/>
      <c r="C204" s="38"/>
      <c r="D204" s="38"/>
      <c r="E204" s="38"/>
      <c r="F204" s="38"/>
      <c r="G204" s="89"/>
      <c r="H204" s="38"/>
      <c r="I204" s="38"/>
      <c r="J204" s="45"/>
      <c r="K204" s="38"/>
      <c r="L204" s="38"/>
      <c r="M204" s="38"/>
    </row>
    <row r="205" spans="1:13" x14ac:dyDescent="0.2">
      <c r="A205" s="38"/>
      <c r="B205" s="38"/>
      <c r="C205" s="38"/>
      <c r="D205" s="38"/>
      <c r="E205" s="38"/>
      <c r="F205" s="38"/>
      <c r="G205" s="89"/>
      <c r="H205" s="38"/>
      <c r="I205" s="38"/>
      <c r="J205" s="45"/>
      <c r="K205" s="38"/>
      <c r="L205" s="38"/>
      <c r="M205" s="38"/>
    </row>
    <row r="206" spans="1:13" x14ac:dyDescent="0.2">
      <c r="A206" s="38"/>
      <c r="B206" s="38"/>
      <c r="C206" s="38"/>
      <c r="D206" s="38"/>
      <c r="E206" s="38"/>
      <c r="F206" s="38"/>
      <c r="G206" s="89"/>
      <c r="H206" s="38"/>
      <c r="I206" s="38"/>
      <c r="J206" s="45"/>
      <c r="K206" s="38"/>
      <c r="L206" s="38"/>
      <c r="M206" s="38"/>
    </row>
    <row r="207" spans="1:13" x14ac:dyDescent="0.2">
      <c r="A207" s="38"/>
      <c r="B207" s="38"/>
      <c r="C207" s="38"/>
      <c r="D207" s="38"/>
      <c r="E207" s="38"/>
      <c r="F207" s="38"/>
      <c r="G207" s="89"/>
      <c r="H207" s="38"/>
      <c r="I207" s="38"/>
      <c r="J207" s="45"/>
      <c r="K207" s="38"/>
      <c r="L207" s="38"/>
      <c r="M207" s="38"/>
    </row>
    <row r="208" spans="1:13" x14ac:dyDescent="0.2">
      <c r="A208" s="38"/>
      <c r="B208" s="38"/>
      <c r="C208" s="38"/>
      <c r="D208" s="38"/>
      <c r="E208" s="38"/>
      <c r="F208" s="38"/>
      <c r="G208" s="89"/>
      <c r="H208" s="38"/>
      <c r="I208" s="38"/>
      <c r="J208" s="45"/>
      <c r="K208" s="38"/>
      <c r="L208" s="38"/>
      <c r="M208" s="38"/>
    </row>
    <row r="209" spans="1:13" x14ac:dyDescent="0.2">
      <c r="A209" s="38"/>
      <c r="B209" s="38"/>
      <c r="C209" s="38"/>
      <c r="D209" s="38"/>
      <c r="E209" s="38"/>
      <c r="F209" s="38"/>
      <c r="G209" s="89"/>
      <c r="H209" s="38"/>
      <c r="I209" s="38"/>
      <c r="J209" s="45"/>
      <c r="K209" s="38"/>
      <c r="L209" s="38"/>
      <c r="M209" s="38"/>
    </row>
    <row r="210" spans="1:13" x14ac:dyDescent="0.2">
      <c r="A210" s="38"/>
      <c r="B210" s="38"/>
      <c r="C210" s="38"/>
      <c r="D210" s="38"/>
      <c r="E210" s="38"/>
      <c r="F210" s="38"/>
      <c r="G210" s="89"/>
      <c r="H210" s="38"/>
      <c r="I210" s="38"/>
      <c r="J210" s="45"/>
      <c r="K210" s="38"/>
      <c r="L210" s="38"/>
      <c r="M210" s="38"/>
    </row>
    <row r="211" spans="1:13" x14ac:dyDescent="0.2">
      <c r="A211" s="38"/>
      <c r="B211" s="38"/>
      <c r="C211" s="38"/>
      <c r="D211" s="38"/>
      <c r="E211" s="38"/>
      <c r="F211" s="38"/>
      <c r="G211" s="89"/>
      <c r="H211" s="38"/>
      <c r="I211" s="38"/>
      <c r="J211" s="45"/>
      <c r="K211" s="38"/>
      <c r="L211" s="38"/>
      <c r="M211" s="38"/>
    </row>
    <row r="212" spans="1:13" x14ac:dyDescent="0.2">
      <c r="A212" s="38"/>
      <c r="B212" s="38"/>
      <c r="C212" s="38"/>
      <c r="D212" s="38"/>
      <c r="E212" s="38"/>
      <c r="F212" s="38"/>
      <c r="G212" s="89"/>
      <c r="H212" s="38"/>
      <c r="I212" s="38"/>
      <c r="J212" s="45"/>
      <c r="K212" s="38"/>
      <c r="L212" s="38"/>
      <c r="M212" s="38"/>
    </row>
    <row r="213" spans="1:13" x14ac:dyDescent="0.2">
      <c r="A213" s="38"/>
      <c r="B213" s="38"/>
      <c r="C213" s="38"/>
      <c r="D213" s="38"/>
      <c r="E213" s="38"/>
      <c r="F213" s="38"/>
      <c r="G213" s="89"/>
      <c r="H213" s="38"/>
      <c r="I213" s="38"/>
      <c r="J213" s="45"/>
      <c r="K213" s="38"/>
      <c r="L213" s="38"/>
      <c r="M213" s="38"/>
    </row>
    <row r="214" spans="1:13" x14ac:dyDescent="0.2">
      <c r="A214" s="38"/>
      <c r="B214" s="38"/>
      <c r="C214" s="38"/>
      <c r="D214" s="38"/>
      <c r="E214" s="38"/>
      <c r="F214" s="38"/>
      <c r="G214" s="89"/>
      <c r="H214" s="38"/>
      <c r="I214" s="38"/>
      <c r="J214" s="45"/>
      <c r="K214" s="38"/>
      <c r="L214" s="38"/>
      <c r="M214" s="38"/>
    </row>
    <row r="215" spans="1:13" x14ac:dyDescent="0.2">
      <c r="A215" s="38"/>
      <c r="B215" s="38"/>
      <c r="C215" s="38"/>
      <c r="D215" s="38"/>
      <c r="E215" s="38"/>
      <c r="F215" s="38"/>
      <c r="G215" s="89"/>
      <c r="H215" s="38"/>
      <c r="I215" s="38"/>
      <c r="J215" s="45"/>
      <c r="K215" s="38"/>
      <c r="L215" s="38"/>
      <c r="M215" s="38"/>
    </row>
    <row r="216" spans="1:13" x14ac:dyDescent="0.2">
      <c r="A216" s="38"/>
      <c r="B216" s="38"/>
      <c r="C216" s="38"/>
      <c r="D216" s="38"/>
      <c r="E216" s="38"/>
      <c r="F216" s="38"/>
      <c r="G216" s="89"/>
      <c r="H216" s="38"/>
      <c r="I216" s="38"/>
      <c r="J216" s="45"/>
      <c r="K216" s="38"/>
      <c r="L216" s="38"/>
      <c r="M216" s="38"/>
    </row>
    <row r="217" spans="1:13" x14ac:dyDescent="0.2">
      <c r="A217" s="38"/>
      <c r="B217" s="38"/>
      <c r="C217" s="38"/>
      <c r="D217" s="38"/>
      <c r="E217" s="38"/>
      <c r="F217" s="38"/>
      <c r="G217" s="89"/>
      <c r="H217" s="38"/>
      <c r="I217" s="38"/>
      <c r="J217" s="45"/>
      <c r="K217" s="38"/>
      <c r="L217" s="38"/>
      <c r="M217" s="38"/>
    </row>
    <row r="218" spans="1:13" x14ac:dyDescent="0.2">
      <c r="A218" s="38"/>
      <c r="B218" s="38"/>
      <c r="C218" s="38"/>
      <c r="D218" s="38"/>
      <c r="E218" s="38"/>
      <c r="F218" s="38"/>
      <c r="G218" s="89"/>
      <c r="H218" s="38"/>
      <c r="I218" s="38"/>
      <c r="J218" s="45"/>
      <c r="K218" s="38"/>
      <c r="L218" s="38"/>
      <c r="M218" s="38"/>
    </row>
    <row r="219" spans="1:13" x14ac:dyDescent="0.2">
      <c r="A219" s="38"/>
      <c r="B219" s="38"/>
      <c r="C219" s="38"/>
      <c r="D219" s="38"/>
      <c r="E219" s="38"/>
      <c r="F219" s="38"/>
      <c r="G219" s="89"/>
      <c r="H219" s="38"/>
      <c r="I219" s="38"/>
      <c r="J219" s="45"/>
      <c r="K219" s="38"/>
      <c r="L219" s="38"/>
      <c r="M219" s="38"/>
    </row>
    <row r="220" spans="1:13" x14ac:dyDescent="0.2">
      <c r="A220" s="38"/>
      <c r="B220" s="38"/>
      <c r="C220" s="38"/>
      <c r="D220" s="38"/>
      <c r="E220" s="38"/>
      <c r="F220" s="38"/>
      <c r="G220" s="89"/>
      <c r="H220" s="38"/>
      <c r="I220" s="38"/>
      <c r="J220" s="45"/>
      <c r="K220" s="38"/>
      <c r="L220" s="38"/>
      <c r="M220" s="38"/>
    </row>
    <row r="221" spans="1:13" x14ac:dyDescent="0.2">
      <c r="A221" s="38"/>
      <c r="B221" s="38"/>
      <c r="C221" s="38"/>
      <c r="D221" s="38"/>
      <c r="E221" s="38"/>
      <c r="F221" s="38"/>
      <c r="G221" s="89"/>
      <c r="H221" s="38"/>
      <c r="I221" s="38"/>
      <c r="J221" s="45"/>
      <c r="K221" s="38"/>
      <c r="L221" s="38"/>
      <c r="M221" s="38"/>
    </row>
    <row r="222" spans="1:13" x14ac:dyDescent="0.2">
      <c r="A222" s="38"/>
      <c r="B222" s="38"/>
      <c r="C222" s="38"/>
      <c r="D222" s="38"/>
      <c r="E222" s="38"/>
      <c r="F222" s="38"/>
      <c r="G222" s="89"/>
      <c r="H222" s="38"/>
      <c r="I222" s="38"/>
      <c r="J222" s="45"/>
      <c r="K222" s="38"/>
      <c r="L222" s="38"/>
      <c r="M222" s="38"/>
    </row>
    <row r="223" spans="1:13" x14ac:dyDescent="0.2">
      <c r="A223" s="38"/>
      <c r="B223" s="38"/>
      <c r="C223" s="38"/>
      <c r="D223" s="38"/>
      <c r="E223" s="38"/>
      <c r="F223" s="38"/>
      <c r="G223" s="89"/>
      <c r="H223" s="38"/>
      <c r="I223" s="38"/>
      <c r="J223" s="45"/>
      <c r="K223" s="38"/>
      <c r="L223" s="38"/>
      <c r="M223" s="38"/>
    </row>
    <row r="224" spans="1:13" x14ac:dyDescent="0.2">
      <c r="A224" s="38"/>
      <c r="B224" s="38"/>
      <c r="C224" s="38"/>
      <c r="D224" s="38"/>
      <c r="E224" s="38"/>
      <c r="F224" s="38"/>
      <c r="G224" s="89"/>
      <c r="H224" s="38"/>
      <c r="I224" s="38"/>
      <c r="J224" s="45"/>
      <c r="K224" s="38"/>
      <c r="L224" s="38"/>
      <c r="M224" s="38"/>
    </row>
    <row r="225" spans="1:13" x14ac:dyDescent="0.2">
      <c r="A225" s="38"/>
      <c r="B225" s="38"/>
      <c r="C225" s="38"/>
      <c r="D225" s="38"/>
      <c r="E225" s="38"/>
      <c r="F225" s="38"/>
      <c r="G225" s="89"/>
      <c r="H225" s="38"/>
      <c r="I225" s="38"/>
      <c r="J225" s="45"/>
      <c r="K225" s="38"/>
      <c r="L225" s="38"/>
      <c r="M225" s="38"/>
    </row>
    <row r="226" spans="1:13" x14ac:dyDescent="0.2">
      <c r="A226" s="38"/>
      <c r="B226" s="38"/>
      <c r="C226" s="38"/>
      <c r="D226" s="38"/>
      <c r="E226" s="38"/>
      <c r="F226" s="38"/>
      <c r="G226" s="89"/>
      <c r="H226" s="38"/>
      <c r="I226" s="38"/>
      <c r="J226" s="45"/>
      <c r="K226" s="38"/>
      <c r="L226" s="38"/>
      <c r="M226" s="38"/>
    </row>
    <row r="227" spans="1:13" x14ac:dyDescent="0.2">
      <c r="A227" s="38"/>
      <c r="B227" s="38"/>
      <c r="C227" s="38"/>
      <c r="D227" s="38"/>
      <c r="E227" s="38"/>
      <c r="F227" s="38"/>
      <c r="G227" s="89"/>
      <c r="H227" s="38"/>
      <c r="I227" s="38"/>
      <c r="J227" s="45"/>
      <c r="K227" s="38"/>
      <c r="L227" s="38"/>
      <c r="M227" s="38"/>
    </row>
    <row r="228" spans="1:13" x14ac:dyDescent="0.2">
      <c r="A228" s="38"/>
      <c r="B228" s="38"/>
      <c r="C228" s="38"/>
      <c r="D228" s="38"/>
      <c r="E228" s="38"/>
      <c r="F228" s="38"/>
      <c r="G228" s="89"/>
      <c r="H228" s="38"/>
      <c r="I228" s="38"/>
      <c r="J228" s="45"/>
      <c r="K228" s="38"/>
      <c r="L228" s="38"/>
      <c r="M228" s="38"/>
    </row>
    <row r="229" spans="1:13" x14ac:dyDescent="0.2">
      <c r="A229" s="38"/>
      <c r="B229" s="38"/>
      <c r="C229" s="38"/>
      <c r="D229" s="38"/>
      <c r="E229" s="38"/>
      <c r="F229" s="38"/>
      <c r="G229" s="89"/>
      <c r="H229" s="38"/>
      <c r="I229" s="38"/>
      <c r="J229" s="45"/>
      <c r="K229" s="38"/>
      <c r="L229" s="38"/>
      <c r="M229" s="38"/>
    </row>
    <row r="230" spans="1:13" x14ac:dyDescent="0.2">
      <c r="A230" s="38"/>
      <c r="B230" s="38"/>
      <c r="C230" s="38"/>
      <c r="D230" s="38"/>
      <c r="E230" s="38"/>
      <c r="F230" s="38"/>
      <c r="G230" s="89"/>
      <c r="H230" s="38"/>
      <c r="I230" s="38"/>
      <c r="J230" s="45"/>
      <c r="K230" s="38"/>
      <c r="L230" s="38"/>
      <c r="M230" s="38"/>
    </row>
    <row r="231" spans="1:13" x14ac:dyDescent="0.2">
      <c r="A231" s="38"/>
      <c r="B231" s="38"/>
      <c r="C231" s="38"/>
      <c r="D231" s="38"/>
      <c r="E231" s="38"/>
      <c r="F231" s="38"/>
      <c r="G231" s="89"/>
      <c r="H231" s="38"/>
      <c r="I231" s="38"/>
      <c r="J231" s="45"/>
      <c r="K231" s="38"/>
      <c r="L231" s="38"/>
      <c r="M231" s="38"/>
    </row>
    <row r="232" spans="1:13" x14ac:dyDescent="0.2">
      <c r="A232" s="38"/>
      <c r="B232" s="38"/>
      <c r="C232" s="38"/>
      <c r="D232" s="38"/>
      <c r="E232" s="38"/>
      <c r="F232" s="38"/>
      <c r="G232" s="89"/>
      <c r="H232" s="38"/>
      <c r="I232" s="38"/>
      <c r="J232" s="45"/>
      <c r="K232" s="38"/>
      <c r="L232" s="38"/>
      <c r="M232" s="38"/>
    </row>
    <row r="233" spans="1:13" x14ac:dyDescent="0.2">
      <c r="A233" s="38"/>
      <c r="B233" s="38"/>
      <c r="C233" s="38"/>
      <c r="D233" s="38"/>
      <c r="E233" s="38"/>
      <c r="F233" s="38"/>
      <c r="G233" s="89"/>
      <c r="H233" s="38"/>
      <c r="I233" s="38"/>
      <c r="J233" s="45"/>
      <c r="K233" s="38"/>
      <c r="L233" s="38"/>
      <c r="M233" s="38"/>
    </row>
    <row r="234" spans="1:13" x14ac:dyDescent="0.2">
      <c r="A234" s="38"/>
      <c r="B234" s="38"/>
      <c r="C234" s="38"/>
      <c r="D234" s="38"/>
      <c r="E234" s="38"/>
      <c r="F234" s="38"/>
      <c r="G234" s="89"/>
      <c r="H234" s="38"/>
      <c r="I234" s="38"/>
      <c r="J234" s="45"/>
      <c r="K234" s="38"/>
      <c r="L234" s="38"/>
      <c r="M234" s="38"/>
    </row>
    <row r="235" spans="1:13" x14ac:dyDescent="0.2">
      <c r="A235" s="38"/>
      <c r="B235" s="38"/>
      <c r="C235" s="38"/>
      <c r="D235" s="38"/>
      <c r="E235" s="38"/>
      <c r="F235" s="38"/>
      <c r="G235" s="89"/>
      <c r="H235" s="38"/>
      <c r="I235" s="38"/>
      <c r="J235" s="45"/>
      <c r="K235" s="38"/>
      <c r="L235" s="38"/>
      <c r="M235" s="38"/>
    </row>
    <row r="236" spans="1:13" x14ac:dyDescent="0.2">
      <c r="A236" s="38"/>
      <c r="B236" s="38"/>
      <c r="C236" s="38"/>
      <c r="D236" s="38"/>
      <c r="E236" s="38"/>
      <c r="F236" s="38"/>
      <c r="G236" s="89"/>
      <c r="H236" s="38"/>
      <c r="I236" s="38"/>
      <c r="J236" s="45"/>
      <c r="K236" s="38"/>
      <c r="L236" s="38"/>
      <c r="M236" s="38"/>
    </row>
    <row r="237" spans="1:13" x14ac:dyDescent="0.2">
      <c r="A237" s="38"/>
      <c r="B237" s="38"/>
      <c r="C237" s="38"/>
      <c r="D237" s="38"/>
      <c r="E237" s="38"/>
      <c r="F237" s="38"/>
      <c r="G237" s="89"/>
      <c r="H237" s="38"/>
      <c r="I237" s="38"/>
      <c r="J237" s="45"/>
      <c r="K237" s="38"/>
      <c r="L237" s="38"/>
      <c r="M237" s="38"/>
    </row>
    <row r="238" spans="1:13" x14ac:dyDescent="0.2">
      <c r="A238" s="38"/>
      <c r="B238" s="38"/>
      <c r="C238" s="38"/>
      <c r="D238" s="38"/>
      <c r="E238" s="38"/>
      <c r="F238" s="38"/>
      <c r="G238" s="89"/>
      <c r="H238" s="38"/>
      <c r="I238" s="38"/>
      <c r="J238" s="45"/>
      <c r="K238" s="38"/>
      <c r="L238" s="38"/>
      <c r="M238" s="38"/>
    </row>
    <row r="239" spans="1:13" x14ac:dyDescent="0.2">
      <c r="A239" s="38"/>
      <c r="B239" s="38"/>
      <c r="C239" s="38"/>
      <c r="D239" s="38"/>
      <c r="E239" s="38"/>
      <c r="F239" s="38"/>
      <c r="G239" s="89"/>
      <c r="H239" s="38"/>
      <c r="I239" s="38"/>
      <c r="J239" s="45"/>
      <c r="K239" s="38"/>
      <c r="L239" s="38"/>
      <c r="M239" s="38"/>
    </row>
    <row r="240" spans="1:13" x14ac:dyDescent="0.2">
      <c r="A240" s="38"/>
      <c r="B240" s="38"/>
      <c r="C240" s="38"/>
      <c r="D240" s="38"/>
      <c r="E240" s="38"/>
      <c r="F240" s="38"/>
      <c r="G240" s="89"/>
      <c r="H240" s="38"/>
      <c r="I240" s="38"/>
      <c r="J240" s="45"/>
      <c r="K240" s="38"/>
      <c r="L240" s="38"/>
      <c r="M240" s="38"/>
    </row>
    <row r="241" spans="1:13" x14ac:dyDescent="0.2">
      <c r="A241" s="38"/>
      <c r="B241" s="38"/>
      <c r="C241" s="38"/>
      <c r="D241" s="38"/>
      <c r="E241" s="38"/>
      <c r="F241" s="38"/>
      <c r="G241" s="89"/>
      <c r="H241" s="38"/>
      <c r="I241" s="38"/>
      <c r="J241" s="45"/>
      <c r="K241" s="38"/>
      <c r="L241" s="38"/>
      <c r="M241" s="38"/>
    </row>
    <row r="242" spans="1:13" x14ac:dyDescent="0.2">
      <c r="A242" s="38"/>
      <c r="B242" s="38"/>
      <c r="C242" s="38"/>
      <c r="D242" s="38"/>
      <c r="E242" s="38"/>
      <c r="F242" s="38"/>
      <c r="G242" s="89"/>
      <c r="H242" s="38"/>
      <c r="I242" s="38"/>
      <c r="J242" s="45"/>
      <c r="K242" s="38"/>
      <c r="L242" s="38"/>
      <c r="M242" s="38"/>
    </row>
    <row r="243" spans="1:13" x14ac:dyDescent="0.2">
      <c r="A243" s="38"/>
      <c r="B243" s="38"/>
      <c r="C243" s="38"/>
      <c r="D243" s="38"/>
      <c r="E243" s="38"/>
      <c r="F243" s="38"/>
      <c r="G243" s="89"/>
      <c r="H243" s="38"/>
      <c r="I243" s="38"/>
      <c r="J243" s="45"/>
      <c r="K243" s="38"/>
      <c r="L243" s="38"/>
      <c r="M243" s="38"/>
    </row>
    <row r="244" spans="1:13" x14ac:dyDescent="0.2">
      <c r="A244" s="38"/>
      <c r="B244" s="38"/>
      <c r="C244" s="38"/>
      <c r="D244" s="38"/>
      <c r="E244" s="38"/>
      <c r="F244" s="38"/>
      <c r="G244" s="89"/>
      <c r="H244" s="38"/>
      <c r="I244" s="38"/>
      <c r="J244" s="45"/>
      <c r="K244" s="38"/>
      <c r="L244" s="38"/>
      <c r="M244" s="38"/>
    </row>
    <row r="245" spans="1:13" x14ac:dyDescent="0.2">
      <c r="A245" s="38"/>
      <c r="B245" s="38"/>
      <c r="C245" s="38"/>
      <c r="D245" s="38"/>
      <c r="E245" s="38"/>
      <c r="F245" s="38"/>
      <c r="G245" s="89"/>
      <c r="H245" s="38"/>
      <c r="I245" s="38"/>
      <c r="J245" s="45"/>
      <c r="K245" s="38"/>
      <c r="L245" s="38"/>
      <c r="M245" s="38"/>
    </row>
    <row r="246" spans="1:13" x14ac:dyDescent="0.2">
      <c r="A246" s="38"/>
      <c r="B246" s="38"/>
      <c r="C246" s="38"/>
      <c r="D246" s="38"/>
      <c r="E246" s="38"/>
      <c r="F246" s="38"/>
      <c r="G246" s="89"/>
      <c r="H246" s="38"/>
      <c r="I246" s="38"/>
      <c r="J246" s="45"/>
      <c r="K246" s="38"/>
      <c r="L246" s="38"/>
      <c r="M246" s="38"/>
    </row>
    <row r="247" spans="1:13" x14ac:dyDescent="0.2">
      <c r="A247" s="38"/>
      <c r="B247" s="38"/>
      <c r="C247" s="38"/>
      <c r="D247" s="38"/>
      <c r="E247" s="38"/>
      <c r="F247" s="38"/>
      <c r="G247" s="89"/>
      <c r="H247" s="38"/>
      <c r="I247" s="38"/>
      <c r="J247" s="45"/>
      <c r="K247" s="38"/>
      <c r="L247" s="38"/>
      <c r="M247" s="38"/>
    </row>
    <row r="248" spans="1:13" x14ac:dyDescent="0.2">
      <c r="A248" s="38"/>
      <c r="B248" s="38"/>
      <c r="C248" s="38"/>
      <c r="D248" s="38"/>
      <c r="E248" s="38"/>
      <c r="F248" s="38"/>
      <c r="G248" s="89"/>
      <c r="H248" s="38"/>
      <c r="I248" s="38"/>
      <c r="J248" s="45"/>
      <c r="K248" s="38"/>
      <c r="L248" s="38"/>
      <c r="M248" s="38"/>
    </row>
    <row r="249" spans="1:13" x14ac:dyDescent="0.2">
      <c r="A249" s="38"/>
      <c r="B249" s="38"/>
      <c r="C249" s="38"/>
      <c r="D249" s="38"/>
      <c r="E249" s="38"/>
      <c r="F249" s="38"/>
      <c r="G249" s="89"/>
      <c r="H249" s="38"/>
      <c r="I249" s="38"/>
      <c r="J249" s="45"/>
      <c r="K249" s="38"/>
      <c r="L249" s="38"/>
      <c r="M249" s="38"/>
    </row>
    <row r="250" spans="1:13" x14ac:dyDescent="0.2">
      <c r="A250" s="38"/>
      <c r="B250" s="38"/>
      <c r="C250" s="38"/>
      <c r="D250" s="38"/>
      <c r="E250" s="38"/>
      <c r="F250" s="38"/>
      <c r="G250" s="89"/>
      <c r="H250" s="38"/>
      <c r="I250" s="38"/>
      <c r="J250" s="45"/>
      <c r="K250" s="38"/>
      <c r="L250" s="38"/>
      <c r="M250" s="38"/>
    </row>
    <row r="251" spans="1:13" x14ac:dyDescent="0.2">
      <c r="A251" s="38"/>
      <c r="B251" s="38"/>
      <c r="C251" s="38"/>
      <c r="D251" s="38"/>
      <c r="E251" s="38"/>
      <c r="F251" s="38"/>
      <c r="G251" s="89"/>
      <c r="H251" s="38"/>
      <c r="I251" s="38"/>
      <c r="J251" s="45"/>
      <c r="K251" s="38"/>
      <c r="L251" s="38"/>
      <c r="M251" s="38"/>
    </row>
    <row r="252" spans="1:13" x14ac:dyDescent="0.2">
      <c r="A252" s="38"/>
      <c r="B252" s="38"/>
      <c r="C252" s="38"/>
      <c r="D252" s="38"/>
      <c r="E252" s="38"/>
      <c r="F252" s="38"/>
      <c r="G252" s="89"/>
      <c r="H252" s="38"/>
      <c r="I252" s="38"/>
      <c r="J252" s="45"/>
      <c r="K252" s="38"/>
      <c r="L252" s="38"/>
      <c r="M252" s="38"/>
    </row>
    <row r="253" spans="1:13" x14ac:dyDescent="0.2">
      <c r="A253" s="38"/>
      <c r="B253" s="38"/>
      <c r="C253" s="38"/>
      <c r="D253" s="38"/>
      <c r="E253" s="38"/>
      <c r="F253" s="38"/>
      <c r="G253" s="89"/>
      <c r="H253" s="38"/>
      <c r="I253" s="38"/>
      <c r="J253" s="45"/>
      <c r="K253" s="38"/>
      <c r="L253" s="38"/>
      <c r="M253" s="38"/>
    </row>
    <row r="254" spans="1:13" x14ac:dyDescent="0.2">
      <c r="A254" s="38"/>
      <c r="B254" s="38"/>
      <c r="C254" s="38"/>
      <c r="D254" s="38"/>
      <c r="E254" s="38"/>
      <c r="F254" s="38"/>
      <c r="G254" s="89"/>
      <c r="H254" s="38"/>
      <c r="I254" s="38"/>
      <c r="J254" s="45"/>
      <c r="K254" s="38"/>
      <c r="L254" s="38"/>
      <c r="M254" s="38"/>
    </row>
    <row r="255" spans="1:13" x14ac:dyDescent="0.2">
      <c r="A255" s="38"/>
      <c r="B255" s="38"/>
      <c r="C255" s="38"/>
      <c r="D255" s="38"/>
      <c r="E255" s="38"/>
      <c r="F255" s="38"/>
      <c r="G255" s="89"/>
      <c r="H255" s="38"/>
      <c r="I255" s="38"/>
      <c r="J255" s="45"/>
      <c r="K255" s="38"/>
      <c r="L255" s="38"/>
      <c r="M255" s="38"/>
    </row>
    <row r="256" spans="1:13" x14ac:dyDescent="0.2">
      <c r="A256" s="38"/>
      <c r="B256" s="38"/>
      <c r="C256" s="38"/>
      <c r="D256" s="38"/>
      <c r="E256" s="38"/>
      <c r="F256" s="38"/>
      <c r="G256" s="89"/>
      <c r="H256" s="38"/>
      <c r="I256" s="38"/>
      <c r="J256" s="45"/>
      <c r="K256" s="38"/>
      <c r="L256" s="38"/>
      <c r="M256" s="38"/>
    </row>
    <row r="257" spans="1:13" x14ac:dyDescent="0.2">
      <c r="A257" s="38"/>
      <c r="B257" s="38"/>
      <c r="C257" s="38"/>
      <c r="D257" s="38"/>
      <c r="E257" s="38"/>
      <c r="F257" s="38"/>
      <c r="G257" s="89"/>
      <c r="H257" s="38"/>
      <c r="I257" s="38"/>
      <c r="J257" s="45"/>
      <c r="K257" s="38"/>
      <c r="L257" s="38"/>
      <c r="M257" s="38"/>
    </row>
    <row r="258" spans="1:13" x14ac:dyDescent="0.2">
      <c r="A258" s="38"/>
      <c r="B258" s="38"/>
      <c r="C258" s="38"/>
      <c r="D258" s="38"/>
      <c r="E258" s="38"/>
      <c r="F258" s="38"/>
      <c r="G258" s="89"/>
      <c r="H258" s="38"/>
      <c r="I258" s="38"/>
      <c r="J258" s="45"/>
      <c r="K258" s="38"/>
      <c r="L258" s="38"/>
      <c r="M258" s="38"/>
    </row>
    <row r="259" spans="1:13" x14ac:dyDescent="0.2">
      <c r="A259" s="38"/>
      <c r="B259" s="38"/>
      <c r="C259" s="38"/>
      <c r="D259" s="38"/>
      <c r="E259" s="38"/>
      <c r="F259" s="38"/>
      <c r="G259" s="89"/>
      <c r="H259" s="38"/>
      <c r="I259" s="38"/>
      <c r="J259" s="45"/>
      <c r="K259" s="38"/>
      <c r="L259" s="38"/>
      <c r="M259" s="38"/>
    </row>
    <row r="260" spans="1:13" x14ac:dyDescent="0.2">
      <c r="A260" s="38"/>
      <c r="B260" s="38"/>
      <c r="C260" s="38"/>
      <c r="D260" s="38"/>
      <c r="E260" s="38"/>
      <c r="F260" s="38"/>
      <c r="G260" s="89"/>
      <c r="H260" s="38"/>
      <c r="I260" s="38"/>
      <c r="J260" s="45"/>
      <c r="K260" s="38"/>
      <c r="L260" s="38"/>
      <c r="M260" s="38"/>
    </row>
    <row r="261" spans="1:13" x14ac:dyDescent="0.2">
      <c r="A261" s="38"/>
      <c r="B261" s="38"/>
      <c r="C261" s="38"/>
      <c r="D261" s="38"/>
      <c r="E261" s="38"/>
      <c r="F261" s="38"/>
      <c r="G261" s="89"/>
      <c r="H261" s="38"/>
      <c r="I261" s="38"/>
      <c r="J261" s="45"/>
      <c r="K261" s="38"/>
      <c r="L261" s="38"/>
      <c r="M261" s="38"/>
    </row>
    <row r="262" spans="1:13" x14ac:dyDescent="0.2">
      <c r="A262" s="38"/>
      <c r="B262" s="38"/>
      <c r="C262" s="38"/>
      <c r="D262" s="38"/>
      <c r="E262" s="38"/>
      <c r="F262" s="38"/>
      <c r="G262" s="89"/>
      <c r="H262" s="38"/>
      <c r="I262" s="38"/>
      <c r="J262" s="45"/>
      <c r="K262" s="38"/>
      <c r="L262" s="38"/>
      <c r="M262" s="38"/>
    </row>
    <row r="263" spans="1:13" x14ac:dyDescent="0.2">
      <c r="A263" s="38"/>
      <c r="B263" s="38"/>
      <c r="C263" s="38"/>
      <c r="D263" s="38"/>
      <c r="E263" s="38"/>
      <c r="F263" s="38"/>
      <c r="G263" s="89"/>
      <c r="H263" s="38"/>
      <c r="I263" s="38"/>
      <c r="J263" s="45"/>
      <c r="K263" s="38"/>
      <c r="L263" s="38"/>
      <c r="M263" s="38"/>
    </row>
    <row r="264" spans="1:13" x14ac:dyDescent="0.2">
      <c r="A264" s="38"/>
      <c r="B264" s="38"/>
      <c r="C264" s="38"/>
      <c r="D264" s="38"/>
      <c r="E264" s="38"/>
      <c r="F264" s="38"/>
      <c r="G264" s="89"/>
      <c r="H264" s="38"/>
      <c r="I264" s="38"/>
      <c r="J264" s="45"/>
      <c r="K264" s="38"/>
      <c r="L264" s="38"/>
      <c r="M264" s="38"/>
    </row>
    <row r="265" spans="1:13" x14ac:dyDescent="0.2">
      <c r="A265" s="38"/>
      <c r="B265" s="38"/>
      <c r="C265" s="38"/>
      <c r="D265" s="38"/>
      <c r="E265" s="38"/>
      <c r="F265" s="38"/>
      <c r="G265" s="89"/>
      <c r="H265" s="38"/>
      <c r="I265" s="38"/>
      <c r="J265" s="45"/>
      <c r="K265" s="38"/>
      <c r="L265" s="38"/>
      <c r="M265" s="38"/>
    </row>
    <row r="266" spans="1:13" x14ac:dyDescent="0.2">
      <c r="A266" s="38"/>
      <c r="B266" s="38"/>
      <c r="C266" s="38"/>
      <c r="D266" s="38"/>
      <c r="E266" s="38"/>
      <c r="F266" s="38"/>
      <c r="G266" s="89"/>
      <c r="H266" s="38"/>
      <c r="I266" s="38"/>
      <c r="J266" s="45"/>
      <c r="K266" s="38"/>
      <c r="L266" s="38"/>
      <c r="M266" s="38"/>
    </row>
    <row r="267" spans="1:13" x14ac:dyDescent="0.2">
      <c r="A267" s="38"/>
      <c r="B267" s="38"/>
      <c r="C267" s="38"/>
      <c r="D267" s="38"/>
      <c r="E267" s="38"/>
      <c r="F267" s="38"/>
      <c r="G267" s="89"/>
      <c r="H267" s="38"/>
      <c r="I267" s="38"/>
      <c r="J267" s="45"/>
      <c r="K267" s="38"/>
      <c r="L267" s="38"/>
      <c r="M267" s="38"/>
    </row>
    <row r="268" spans="1:13" x14ac:dyDescent="0.2">
      <c r="A268" s="38"/>
      <c r="B268" s="38"/>
      <c r="C268" s="38"/>
      <c r="D268" s="38"/>
      <c r="E268" s="38"/>
      <c r="F268" s="38"/>
      <c r="G268" s="89"/>
      <c r="H268" s="38"/>
      <c r="I268" s="38"/>
      <c r="J268" s="45"/>
      <c r="K268" s="38"/>
      <c r="L268" s="38"/>
      <c r="M268" s="38"/>
    </row>
    <row r="269" spans="1:13" x14ac:dyDescent="0.2">
      <c r="A269" s="38"/>
      <c r="B269" s="38"/>
      <c r="C269" s="38"/>
      <c r="D269" s="38"/>
      <c r="E269" s="38"/>
      <c r="F269" s="38"/>
      <c r="G269" s="89"/>
      <c r="H269" s="38"/>
      <c r="I269" s="38"/>
      <c r="J269" s="45"/>
      <c r="K269" s="38"/>
      <c r="L269" s="38"/>
      <c r="M269" s="38"/>
    </row>
    <row r="270" spans="1:13" x14ac:dyDescent="0.2">
      <c r="A270" s="38"/>
      <c r="B270" s="38"/>
      <c r="C270" s="38"/>
      <c r="D270" s="38"/>
      <c r="E270" s="38"/>
      <c r="F270" s="38"/>
      <c r="G270" s="89"/>
      <c r="H270" s="38"/>
      <c r="I270" s="38"/>
      <c r="J270" s="45"/>
      <c r="K270" s="38"/>
      <c r="L270" s="38"/>
      <c r="M270" s="38"/>
    </row>
    <row r="271" spans="1:13" x14ac:dyDescent="0.2">
      <c r="A271" s="38"/>
      <c r="B271" s="38"/>
      <c r="C271" s="38"/>
      <c r="D271" s="38"/>
      <c r="E271" s="38"/>
      <c r="F271" s="38"/>
      <c r="G271" s="89"/>
      <c r="H271" s="38"/>
      <c r="I271" s="38"/>
      <c r="J271" s="45"/>
      <c r="K271" s="38"/>
      <c r="L271" s="38"/>
      <c r="M271" s="38"/>
    </row>
    <row r="272" spans="1:13" x14ac:dyDescent="0.2">
      <c r="A272" s="38"/>
      <c r="B272" s="38"/>
      <c r="C272" s="38"/>
      <c r="D272" s="38"/>
      <c r="E272" s="38"/>
      <c r="F272" s="38"/>
      <c r="G272" s="89"/>
      <c r="H272" s="38"/>
      <c r="I272" s="38"/>
      <c r="J272" s="45"/>
      <c r="K272" s="38"/>
      <c r="L272" s="38"/>
      <c r="M272" s="38"/>
    </row>
    <row r="273" spans="1:13" x14ac:dyDescent="0.2">
      <c r="A273" s="38"/>
      <c r="B273" s="38"/>
      <c r="C273" s="38"/>
      <c r="D273" s="38"/>
      <c r="E273" s="38"/>
      <c r="F273" s="38"/>
      <c r="G273" s="89"/>
      <c r="H273" s="38"/>
      <c r="I273" s="38"/>
      <c r="J273" s="45"/>
      <c r="K273" s="38"/>
      <c r="L273" s="38"/>
      <c r="M273" s="38"/>
    </row>
    <row r="274" spans="1:13" x14ac:dyDescent="0.2">
      <c r="A274" s="38"/>
      <c r="B274" s="38"/>
      <c r="C274" s="38"/>
      <c r="D274" s="38"/>
      <c r="E274" s="38"/>
      <c r="F274" s="38"/>
      <c r="G274" s="89"/>
      <c r="H274" s="38"/>
      <c r="I274" s="38"/>
      <c r="J274" s="45"/>
      <c r="K274" s="38"/>
      <c r="L274" s="38"/>
      <c r="M274" s="38"/>
    </row>
    <row r="275" spans="1:13" x14ac:dyDescent="0.2">
      <c r="A275" s="38"/>
      <c r="B275" s="38"/>
      <c r="C275" s="38"/>
      <c r="D275" s="38"/>
      <c r="E275" s="38"/>
      <c r="F275" s="38"/>
      <c r="G275" s="89"/>
      <c r="H275" s="38"/>
      <c r="I275" s="38"/>
      <c r="J275" s="45"/>
      <c r="K275" s="38"/>
      <c r="L275" s="38"/>
      <c r="M275" s="38"/>
    </row>
    <row r="276" spans="1:13" x14ac:dyDescent="0.2">
      <c r="A276" s="38"/>
      <c r="B276" s="38"/>
      <c r="C276" s="38"/>
      <c r="D276" s="38"/>
      <c r="E276" s="38"/>
      <c r="F276" s="38"/>
      <c r="G276" s="89"/>
      <c r="H276" s="38"/>
      <c r="I276" s="38"/>
      <c r="J276" s="45"/>
      <c r="K276" s="38"/>
      <c r="L276" s="38"/>
      <c r="M276" s="38"/>
    </row>
    <row r="277" spans="1:13" x14ac:dyDescent="0.2">
      <c r="A277" s="38"/>
      <c r="B277" s="38"/>
      <c r="C277" s="38"/>
      <c r="D277" s="38"/>
      <c r="E277" s="38"/>
      <c r="F277" s="38"/>
      <c r="G277" s="89"/>
      <c r="H277" s="38"/>
      <c r="I277" s="38"/>
      <c r="J277" s="45"/>
      <c r="K277" s="38"/>
      <c r="L277" s="38"/>
      <c r="M277" s="38"/>
    </row>
    <row r="278" spans="1:13" x14ac:dyDescent="0.2">
      <c r="A278" s="38"/>
      <c r="B278" s="38"/>
      <c r="C278" s="38"/>
      <c r="D278" s="38"/>
      <c r="E278" s="38"/>
      <c r="F278" s="38"/>
      <c r="G278" s="89"/>
      <c r="H278" s="38"/>
      <c r="I278" s="38"/>
      <c r="J278" s="45"/>
      <c r="K278" s="38"/>
      <c r="L278" s="38"/>
      <c r="M278" s="38"/>
    </row>
    <row r="279" spans="1:13" x14ac:dyDescent="0.2">
      <c r="A279" s="38"/>
      <c r="B279" s="38"/>
      <c r="C279" s="38"/>
      <c r="D279" s="38"/>
      <c r="E279" s="38"/>
      <c r="F279" s="38"/>
      <c r="G279" s="89"/>
      <c r="H279" s="38"/>
      <c r="I279" s="38"/>
      <c r="J279" s="45"/>
      <c r="K279" s="38"/>
      <c r="L279" s="38"/>
      <c r="M279" s="38"/>
    </row>
    <row r="280" spans="1:13" x14ac:dyDescent="0.2">
      <c r="A280" s="38"/>
      <c r="B280" s="38"/>
      <c r="C280" s="38"/>
      <c r="D280" s="38"/>
      <c r="E280" s="38"/>
      <c r="F280" s="38"/>
      <c r="G280" s="89"/>
      <c r="H280" s="38"/>
      <c r="I280" s="38"/>
      <c r="J280" s="45"/>
      <c r="K280" s="38"/>
      <c r="L280" s="38"/>
      <c r="M280" s="38"/>
    </row>
    <row r="281" spans="1:13" x14ac:dyDescent="0.2">
      <c r="A281" s="38"/>
      <c r="B281" s="38"/>
      <c r="C281" s="38"/>
      <c r="D281" s="38"/>
      <c r="E281" s="38"/>
      <c r="F281" s="38"/>
      <c r="G281" s="89"/>
      <c r="H281" s="38"/>
      <c r="I281" s="38"/>
      <c r="J281" s="45"/>
      <c r="K281" s="38"/>
      <c r="L281" s="38"/>
      <c r="M281" s="38"/>
    </row>
    <row r="282" spans="1:13" x14ac:dyDescent="0.2">
      <c r="A282" s="38"/>
      <c r="B282" s="38"/>
      <c r="C282" s="38"/>
      <c r="D282" s="38"/>
      <c r="E282" s="38"/>
      <c r="F282" s="38"/>
      <c r="G282" s="89"/>
      <c r="H282" s="38"/>
      <c r="I282" s="38"/>
      <c r="J282" s="45"/>
      <c r="K282" s="38"/>
      <c r="L282" s="38"/>
      <c r="M282" s="38"/>
    </row>
    <row r="283" spans="1:13" x14ac:dyDescent="0.2">
      <c r="A283" s="38"/>
      <c r="B283" s="38"/>
      <c r="C283" s="38"/>
      <c r="D283" s="38"/>
      <c r="E283" s="38"/>
      <c r="F283" s="38"/>
      <c r="G283" s="89"/>
      <c r="H283" s="38"/>
      <c r="I283" s="38"/>
      <c r="J283" s="45"/>
      <c r="K283" s="38"/>
      <c r="L283" s="38"/>
      <c r="M283" s="38"/>
    </row>
    <row r="284" spans="1:13" x14ac:dyDescent="0.2">
      <c r="A284" s="38"/>
      <c r="B284" s="38"/>
      <c r="C284" s="38"/>
      <c r="D284" s="38"/>
      <c r="E284" s="38"/>
      <c r="F284" s="38"/>
      <c r="G284" s="89"/>
      <c r="H284" s="38"/>
      <c r="I284" s="38"/>
      <c r="J284" s="45"/>
      <c r="K284" s="38"/>
      <c r="L284" s="38"/>
      <c r="M284" s="38"/>
    </row>
    <row r="285" spans="1:13" x14ac:dyDescent="0.2">
      <c r="A285" s="38"/>
      <c r="B285" s="38"/>
      <c r="C285" s="38"/>
      <c r="D285" s="38"/>
      <c r="E285" s="38"/>
      <c r="F285" s="38"/>
      <c r="G285" s="89"/>
      <c r="H285" s="38"/>
      <c r="I285" s="38"/>
      <c r="J285" s="45"/>
      <c r="K285" s="38"/>
      <c r="L285" s="38"/>
      <c r="M285" s="38"/>
    </row>
    <row r="286" spans="1:13" x14ac:dyDescent="0.2">
      <c r="A286" s="38"/>
      <c r="B286" s="38"/>
      <c r="C286" s="38"/>
      <c r="D286" s="38"/>
      <c r="E286" s="38"/>
      <c r="F286" s="38"/>
      <c r="G286" s="89"/>
      <c r="H286" s="38"/>
      <c r="I286" s="38"/>
      <c r="J286" s="45"/>
      <c r="K286" s="38"/>
      <c r="L286" s="38"/>
      <c r="M286" s="38"/>
    </row>
    <row r="287" spans="1:13" x14ac:dyDescent="0.2">
      <c r="A287" s="38"/>
      <c r="B287" s="38"/>
      <c r="C287" s="38"/>
      <c r="D287" s="38"/>
      <c r="E287" s="38"/>
      <c r="F287" s="38"/>
      <c r="G287" s="89"/>
      <c r="H287" s="38"/>
      <c r="I287" s="38"/>
      <c r="J287" s="45"/>
      <c r="K287" s="38"/>
      <c r="L287" s="38"/>
      <c r="M287" s="38"/>
    </row>
    <row r="288" spans="1:13" x14ac:dyDescent="0.2">
      <c r="A288" s="38"/>
      <c r="B288" s="38"/>
      <c r="C288" s="38"/>
      <c r="D288" s="38"/>
      <c r="E288" s="38"/>
      <c r="F288" s="38"/>
      <c r="G288" s="89"/>
      <c r="H288" s="38"/>
      <c r="I288" s="38"/>
      <c r="J288" s="45"/>
      <c r="K288" s="38"/>
      <c r="L288" s="38"/>
      <c r="M288" s="38"/>
    </row>
    <row r="289" spans="1:13" x14ac:dyDescent="0.2">
      <c r="A289" s="38"/>
      <c r="B289" s="38"/>
      <c r="C289" s="38"/>
      <c r="D289" s="38"/>
      <c r="E289" s="38"/>
      <c r="F289" s="38"/>
      <c r="G289" s="89"/>
      <c r="H289" s="38"/>
      <c r="I289" s="38"/>
      <c r="J289" s="45"/>
      <c r="K289" s="38"/>
      <c r="L289" s="38"/>
      <c r="M289" s="38"/>
    </row>
    <row r="290" spans="1:13" x14ac:dyDescent="0.2">
      <c r="A290" s="38"/>
      <c r="B290" s="38"/>
      <c r="C290" s="38"/>
      <c r="D290" s="38"/>
      <c r="E290" s="38"/>
      <c r="F290" s="38"/>
      <c r="G290" s="89"/>
      <c r="H290" s="38"/>
      <c r="I290" s="38"/>
      <c r="J290" s="45"/>
      <c r="K290" s="38"/>
      <c r="L290" s="38"/>
      <c r="M290" s="38"/>
    </row>
    <row r="291" spans="1:13" x14ac:dyDescent="0.2">
      <c r="A291" s="38"/>
      <c r="B291" s="38"/>
      <c r="C291" s="38"/>
      <c r="D291" s="38"/>
      <c r="E291" s="38"/>
      <c r="F291" s="38"/>
      <c r="G291" s="89"/>
      <c r="H291" s="38"/>
      <c r="I291" s="38"/>
      <c r="J291" s="45"/>
      <c r="K291" s="38"/>
      <c r="L291" s="38"/>
      <c r="M291" s="38"/>
    </row>
    <row r="292" spans="1:13" x14ac:dyDescent="0.2">
      <c r="A292" s="38"/>
      <c r="B292" s="38"/>
      <c r="C292" s="38"/>
      <c r="D292" s="38"/>
      <c r="E292" s="38"/>
      <c r="F292" s="38"/>
      <c r="G292" s="89"/>
      <c r="H292" s="38"/>
      <c r="I292" s="38"/>
      <c r="J292" s="45"/>
      <c r="K292" s="38"/>
      <c r="L292" s="38"/>
      <c r="M292" s="38"/>
    </row>
    <row r="293" spans="1:13" x14ac:dyDescent="0.2">
      <c r="A293" s="38"/>
      <c r="B293" s="38"/>
      <c r="C293" s="38"/>
      <c r="D293" s="38"/>
      <c r="E293" s="38"/>
      <c r="F293" s="38"/>
      <c r="G293" s="89"/>
      <c r="H293" s="38"/>
      <c r="I293" s="38"/>
      <c r="J293" s="45"/>
      <c r="K293" s="38"/>
      <c r="L293" s="38"/>
      <c r="M293" s="38"/>
    </row>
    <row r="294" spans="1:13" x14ac:dyDescent="0.2">
      <c r="A294" s="38"/>
      <c r="B294" s="38"/>
      <c r="C294" s="38"/>
      <c r="D294" s="38"/>
      <c r="E294" s="38"/>
      <c r="F294" s="38"/>
      <c r="G294" s="89"/>
      <c r="H294" s="38"/>
      <c r="I294" s="38"/>
      <c r="J294" s="45"/>
      <c r="K294" s="38"/>
      <c r="L294" s="38"/>
      <c r="M294" s="38"/>
    </row>
    <row r="295" spans="1:13" x14ac:dyDescent="0.2">
      <c r="A295" s="38"/>
      <c r="B295" s="38"/>
      <c r="C295" s="38"/>
      <c r="D295" s="38"/>
      <c r="E295" s="38"/>
      <c r="F295" s="38"/>
      <c r="G295" s="89"/>
      <c r="H295" s="38"/>
      <c r="I295" s="38"/>
      <c r="J295" s="45"/>
      <c r="K295" s="38"/>
      <c r="L295" s="38"/>
      <c r="M295" s="38"/>
    </row>
    <row r="296" spans="1:13" x14ac:dyDescent="0.2">
      <c r="A296" s="38"/>
      <c r="B296" s="38"/>
      <c r="C296" s="38"/>
      <c r="D296" s="38"/>
      <c r="E296" s="38"/>
      <c r="F296" s="38"/>
      <c r="G296" s="89"/>
      <c r="H296" s="38"/>
      <c r="I296" s="38"/>
      <c r="J296" s="45"/>
      <c r="K296" s="38"/>
      <c r="L296" s="38"/>
      <c r="M296" s="38"/>
    </row>
    <row r="297" spans="1:13" x14ac:dyDescent="0.2">
      <c r="A297" s="38"/>
      <c r="B297" s="38"/>
      <c r="C297" s="38"/>
      <c r="D297" s="38"/>
      <c r="E297" s="38"/>
      <c r="F297" s="38"/>
      <c r="G297" s="89"/>
      <c r="H297" s="38"/>
      <c r="I297" s="38"/>
      <c r="J297" s="45"/>
      <c r="K297" s="38"/>
      <c r="L297" s="38"/>
      <c r="M297" s="38"/>
    </row>
    <row r="298" spans="1:13" x14ac:dyDescent="0.2">
      <c r="A298" s="38"/>
      <c r="B298" s="38"/>
      <c r="C298" s="38"/>
      <c r="D298" s="38"/>
      <c r="E298" s="38"/>
      <c r="F298" s="38"/>
      <c r="G298" s="89"/>
      <c r="H298" s="38"/>
      <c r="I298" s="38"/>
      <c r="J298" s="45"/>
      <c r="K298" s="38"/>
      <c r="L298" s="38"/>
      <c r="M298" s="38"/>
    </row>
    <row r="299" spans="1:13" x14ac:dyDescent="0.2">
      <c r="A299" s="38"/>
      <c r="B299" s="38"/>
      <c r="C299" s="38"/>
      <c r="D299" s="38"/>
      <c r="E299" s="38"/>
      <c r="F299" s="38"/>
      <c r="G299" s="89"/>
      <c r="H299" s="38"/>
      <c r="I299" s="38"/>
      <c r="J299" s="45"/>
      <c r="K299" s="38"/>
      <c r="L299" s="38"/>
      <c r="M299" s="38"/>
    </row>
    <row r="300" spans="1:13" x14ac:dyDescent="0.2">
      <c r="A300" s="38"/>
      <c r="B300" s="38"/>
      <c r="C300" s="38"/>
      <c r="D300" s="38"/>
      <c r="E300" s="38"/>
      <c r="F300" s="38"/>
      <c r="G300" s="89"/>
      <c r="H300" s="38"/>
      <c r="I300" s="38"/>
      <c r="J300" s="45"/>
      <c r="K300" s="38"/>
      <c r="L300" s="38"/>
      <c r="M300" s="38"/>
    </row>
    <row r="301" spans="1:13" x14ac:dyDescent="0.2">
      <c r="A301" s="38"/>
      <c r="B301" s="38"/>
      <c r="C301" s="38"/>
      <c r="D301" s="38"/>
      <c r="E301" s="38"/>
      <c r="F301" s="38"/>
      <c r="G301" s="89"/>
      <c r="H301" s="38"/>
      <c r="I301" s="38"/>
      <c r="J301" s="45"/>
      <c r="K301" s="38"/>
      <c r="L301" s="38"/>
      <c r="M301" s="38"/>
    </row>
    <row r="302" spans="1:13" x14ac:dyDescent="0.2">
      <c r="A302" s="38"/>
      <c r="B302" s="38"/>
      <c r="C302" s="38"/>
      <c r="D302" s="38"/>
      <c r="E302" s="38"/>
      <c r="F302" s="38"/>
      <c r="G302" s="89"/>
      <c r="H302" s="38"/>
      <c r="I302" s="38"/>
      <c r="J302" s="45"/>
      <c r="K302" s="38"/>
      <c r="L302" s="38"/>
      <c r="M302" s="38"/>
    </row>
    <row r="303" spans="1:13" x14ac:dyDescent="0.2">
      <c r="A303" s="38"/>
      <c r="B303" s="38"/>
      <c r="C303" s="38"/>
      <c r="D303" s="38"/>
      <c r="E303" s="38"/>
      <c r="F303" s="38"/>
      <c r="G303" s="89"/>
      <c r="H303" s="38"/>
      <c r="I303" s="38"/>
      <c r="J303" s="45"/>
      <c r="K303" s="38"/>
      <c r="L303" s="38"/>
      <c r="M303" s="38"/>
    </row>
    <row r="304" spans="1:13" x14ac:dyDescent="0.2">
      <c r="A304" s="38"/>
      <c r="B304" s="38"/>
      <c r="C304" s="38"/>
      <c r="D304" s="38"/>
      <c r="E304" s="38"/>
      <c r="F304" s="38"/>
      <c r="G304" s="89"/>
      <c r="H304" s="38"/>
      <c r="I304" s="38"/>
      <c r="J304" s="45"/>
      <c r="K304" s="38"/>
      <c r="L304" s="38"/>
      <c r="M304" s="38"/>
    </row>
    <row r="305" spans="1:13" x14ac:dyDescent="0.2">
      <c r="A305" s="38"/>
      <c r="B305" s="38"/>
      <c r="C305" s="38"/>
      <c r="D305" s="38"/>
      <c r="E305" s="38"/>
      <c r="F305" s="38"/>
      <c r="G305" s="89"/>
      <c r="H305" s="38"/>
      <c r="I305" s="38"/>
      <c r="J305" s="45"/>
      <c r="K305" s="38"/>
      <c r="L305" s="38"/>
      <c r="M305" s="38"/>
    </row>
    <row r="306" spans="1:13" x14ac:dyDescent="0.2">
      <c r="A306" s="38"/>
      <c r="B306" s="38"/>
      <c r="C306" s="38"/>
      <c r="D306" s="38"/>
      <c r="E306" s="38"/>
      <c r="F306" s="38"/>
      <c r="G306" s="89"/>
      <c r="H306" s="38"/>
      <c r="I306" s="38"/>
      <c r="J306" s="45"/>
      <c r="K306" s="38"/>
      <c r="L306" s="38"/>
      <c r="M306" s="38"/>
    </row>
    <row r="307" spans="1:13" x14ac:dyDescent="0.2">
      <c r="A307" s="38"/>
      <c r="B307" s="38"/>
      <c r="C307" s="38"/>
      <c r="D307" s="38"/>
      <c r="E307" s="38"/>
      <c r="F307" s="38"/>
      <c r="G307" s="89"/>
      <c r="H307" s="38"/>
      <c r="I307" s="38"/>
      <c r="J307" s="45"/>
      <c r="K307" s="38"/>
      <c r="L307" s="38"/>
      <c r="M307" s="38"/>
    </row>
    <row r="308" spans="1:13" x14ac:dyDescent="0.2">
      <c r="A308" s="38"/>
      <c r="B308" s="38"/>
      <c r="C308" s="38"/>
      <c r="D308" s="38"/>
      <c r="E308" s="38"/>
      <c r="F308" s="38"/>
      <c r="G308" s="89"/>
      <c r="H308" s="38"/>
      <c r="I308" s="38"/>
      <c r="J308" s="45"/>
      <c r="K308" s="38"/>
      <c r="L308" s="38"/>
      <c r="M308" s="38"/>
    </row>
    <row r="309" spans="1:13" x14ac:dyDescent="0.2">
      <c r="A309" s="38"/>
      <c r="B309" s="38"/>
      <c r="C309" s="38"/>
      <c r="D309" s="38"/>
      <c r="E309" s="38"/>
      <c r="F309" s="38"/>
      <c r="G309" s="89"/>
      <c r="H309" s="38"/>
      <c r="I309" s="38"/>
      <c r="J309" s="45"/>
      <c r="K309" s="38"/>
      <c r="L309" s="38"/>
      <c r="M309" s="38"/>
    </row>
    <row r="310" spans="1:13" x14ac:dyDescent="0.2">
      <c r="A310" s="38"/>
      <c r="B310" s="38"/>
      <c r="C310" s="38"/>
      <c r="D310" s="38"/>
      <c r="E310" s="38"/>
      <c r="F310" s="38"/>
      <c r="G310" s="89"/>
      <c r="H310" s="38"/>
      <c r="I310" s="38"/>
      <c r="J310" s="45"/>
      <c r="K310" s="38"/>
      <c r="L310" s="38"/>
      <c r="M310" s="38"/>
    </row>
    <row r="311" spans="1:13" x14ac:dyDescent="0.2">
      <c r="A311" s="38"/>
      <c r="B311" s="38"/>
      <c r="C311" s="38"/>
      <c r="D311" s="38"/>
      <c r="E311" s="38"/>
      <c r="F311" s="38"/>
      <c r="G311" s="89"/>
      <c r="H311" s="38"/>
      <c r="I311" s="38"/>
      <c r="J311" s="45"/>
      <c r="K311" s="38"/>
      <c r="L311" s="38"/>
      <c r="M311" s="38"/>
    </row>
    <row r="312" spans="1:13" x14ac:dyDescent="0.2">
      <c r="A312" s="38"/>
      <c r="B312" s="38"/>
      <c r="C312" s="38"/>
      <c r="D312" s="38"/>
      <c r="E312" s="38"/>
      <c r="F312" s="38"/>
      <c r="G312" s="89"/>
      <c r="H312" s="38"/>
      <c r="I312" s="38"/>
      <c r="J312" s="45"/>
      <c r="K312" s="38"/>
      <c r="L312" s="38"/>
      <c r="M312" s="38"/>
    </row>
    <row r="313" spans="1:13" x14ac:dyDescent="0.2">
      <c r="A313" s="38"/>
      <c r="B313" s="38"/>
      <c r="C313" s="38"/>
      <c r="D313" s="38"/>
      <c r="E313" s="38"/>
      <c r="F313" s="38"/>
      <c r="G313" s="89"/>
      <c r="H313" s="38"/>
      <c r="I313" s="38"/>
      <c r="J313" s="45"/>
      <c r="K313" s="38"/>
      <c r="L313" s="38"/>
      <c r="M313" s="38"/>
    </row>
    <row r="314" spans="1:13" x14ac:dyDescent="0.2">
      <c r="A314" s="38"/>
      <c r="B314" s="38"/>
      <c r="C314" s="38"/>
      <c r="D314" s="38"/>
      <c r="E314" s="38"/>
      <c r="F314" s="38"/>
      <c r="G314" s="89"/>
      <c r="H314" s="38"/>
      <c r="I314" s="38"/>
      <c r="J314" s="45"/>
      <c r="K314" s="38"/>
      <c r="L314" s="38"/>
      <c r="M314" s="38"/>
    </row>
    <row r="315" spans="1:13" x14ac:dyDescent="0.2">
      <c r="A315" s="38"/>
      <c r="B315" s="38"/>
      <c r="C315" s="38"/>
      <c r="D315" s="38"/>
      <c r="E315" s="38"/>
      <c r="F315" s="38"/>
      <c r="G315" s="89"/>
      <c r="H315" s="38"/>
      <c r="I315" s="38"/>
      <c r="J315" s="45"/>
      <c r="K315" s="38"/>
      <c r="L315" s="38"/>
      <c r="M315" s="38"/>
    </row>
    <row r="316" spans="1:13" x14ac:dyDescent="0.2">
      <c r="A316" s="38"/>
      <c r="B316" s="38"/>
      <c r="C316" s="38"/>
      <c r="D316" s="38"/>
      <c r="E316" s="38"/>
      <c r="F316" s="38"/>
      <c r="G316" s="89"/>
      <c r="H316" s="38"/>
      <c r="I316" s="38"/>
      <c r="J316" s="45"/>
      <c r="K316" s="38"/>
      <c r="L316" s="38"/>
      <c r="M316" s="38"/>
    </row>
    <row r="317" spans="1:13" x14ac:dyDescent="0.2">
      <c r="A317" s="38"/>
      <c r="B317" s="38"/>
      <c r="C317" s="38"/>
      <c r="D317" s="38"/>
      <c r="E317" s="38"/>
      <c r="F317" s="38"/>
      <c r="G317" s="89"/>
      <c r="H317" s="38"/>
      <c r="I317" s="38"/>
      <c r="J317" s="45"/>
      <c r="K317" s="38"/>
      <c r="L317" s="38"/>
      <c r="M317" s="38"/>
    </row>
    <row r="318" spans="1:13" x14ac:dyDescent="0.2">
      <c r="A318" s="38"/>
      <c r="B318" s="38"/>
      <c r="C318" s="38"/>
      <c r="D318" s="38"/>
      <c r="E318" s="38"/>
      <c r="F318" s="38"/>
      <c r="G318" s="89"/>
      <c r="H318" s="38"/>
      <c r="I318" s="38"/>
      <c r="J318" s="45"/>
      <c r="K318" s="38"/>
      <c r="L318" s="38"/>
      <c r="M318" s="38"/>
    </row>
    <row r="319" spans="1:13" x14ac:dyDescent="0.2">
      <c r="A319" s="38"/>
      <c r="B319" s="38"/>
      <c r="C319" s="38"/>
      <c r="D319" s="38"/>
      <c r="E319" s="38"/>
      <c r="F319" s="38"/>
      <c r="G319" s="89"/>
      <c r="H319" s="38"/>
      <c r="I319" s="38"/>
      <c r="J319" s="45"/>
      <c r="K319" s="38"/>
      <c r="L319" s="38"/>
      <c r="M319" s="38"/>
    </row>
    <row r="320" spans="1:13" x14ac:dyDescent="0.2">
      <c r="A320" s="38"/>
      <c r="B320" s="38"/>
      <c r="C320" s="38"/>
      <c r="D320" s="38"/>
      <c r="E320" s="38"/>
      <c r="F320" s="38"/>
      <c r="G320" s="89"/>
      <c r="H320" s="38"/>
      <c r="I320" s="38"/>
      <c r="J320" s="45"/>
      <c r="K320" s="38"/>
      <c r="L320" s="38"/>
      <c r="M320" s="38"/>
    </row>
    <row r="321" spans="1:13" x14ac:dyDescent="0.2">
      <c r="A321" s="38"/>
      <c r="B321" s="38"/>
      <c r="C321" s="38"/>
      <c r="D321" s="38"/>
      <c r="E321" s="38"/>
      <c r="F321" s="38"/>
      <c r="G321" s="89"/>
      <c r="H321" s="38"/>
      <c r="I321" s="38"/>
      <c r="J321" s="45"/>
      <c r="K321" s="38"/>
      <c r="L321" s="38"/>
      <c r="M321" s="38"/>
    </row>
    <row r="322" spans="1:13" x14ac:dyDescent="0.2">
      <c r="A322" s="38"/>
      <c r="B322" s="38"/>
      <c r="C322" s="38"/>
      <c r="D322" s="38"/>
      <c r="E322" s="38"/>
      <c r="F322" s="38"/>
      <c r="G322" s="89"/>
      <c r="H322" s="38"/>
      <c r="I322" s="38"/>
      <c r="J322" s="45"/>
      <c r="K322" s="38"/>
      <c r="L322" s="38"/>
      <c r="M322" s="38"/>
    </row>
    <row r="323" spans="1:13" x14ac:dyDescent="0.2">
      <c r="A323" s="38"/>
      <c r="B323" s="38"/>
      <c r="C323" s="38"/>
      <c r="D323" s="38"/>
      <c r="E323" s="38"/>
      <c r="F323" s="38"/>
      <c r="G323" s="89"/>
      <c r="H323" s="38"/>
      <c r="I323" s="38"/>
      <c r="J323" s="45"/>
      <c r="K323" s="38"/>
      <c r="L323" s="38"/>
      <c r="M323" s="38"/>
    </row>
    <row r="324" spans="1:13" x14ac:dyDescent="0.2">
      <c r="A324" s="38"/>
      <c r="B324" s="38"/>
      <c r="C324" s="38"/>
      <c r="D324" s="38"/>
      <c r="E324" s="38"/>
      <c r="F324" s="38"/>
      <c r="G324" s="89"/>
      <c r="H324" s="38"/>
      <c r="I324" s="38"/>
      <c r="J324" s="45"/>
      <c r="K324" s="38"/>
      <c r="L324" s="38"/>
      <c r="M324" s="38"/>
    </row>
    <row r="325" spans="1:13" x14ac:dyDescent="0.2">
      <c r="A325" s="38"/>
      <c r="B325" s="38"/>
      <c r="C325" s="38"/>
      <c r="D325" s="38"/>
      <c r="E325" s="38"/>
      <c r="F325" s="38"/>
      <c r="G325" s="89"/>
      <c r="H325" s="38"/>
      <c r="I325" s="38"/>
      <c r="J325" s="45"/>
      <c r="K325" s="38"/>
      <c r="L325" s="38"/>
      <c r="M325" s="38"/>
    </row>
    <row r="326" spans="1:13" x14ac:dyDescent="0.2">
      <c r="A326" s="38"/>
      <c r="B326" s="38"/>
      <c r="C326" s="38"/>
      <c r="D326" s="38"/>
      <c r="E326" s="38"/>
      <c r="F326" s="38"/>
      <c r="G326" s="89"/>
      <c r="H326" s="38"/>
      <c r="I326" s="38"/>
      <c r="J326" s="45"/>
      <c r="K326" s="38"/>
      <c r="L326" s="38"/>
      <c r="M326" s="38"/>
    </row>
    <row r="327" spans="1:13" x14ac:dyDescent="0.2">
      <c r="A327" s="38"/>
      <c r="B327" s="38"/>
      <c r="C327" s="38"/>
      <c r="D327" s="38"/>
      <c r="E327" s="38"/>
      <c r="F327" s="38"/>
      <c r="G327" s="89"/>
      <c r="H327" s="38"/>
      <c r="I327" s="38"/>
      <c r="J327" s="45"/>
      <c r="K327" s="38"/>
      <c r="L327" s="38"/>
      <c r="M327" s="38"/>
    </row>
    <row r="328" spans="1:13" x14ac:dyDescent="0.2">
      <c r="A328" s="38"/>
      <c r="B328" s="38"/>
      <c r="C328" s="38"/>
      <c r="D328" s="38"/>
      <c r="E328" s="38"/>
      <c r="F328" s="38"/>
      <c r="G328" s="89"/>
      <c r="H328" s="38"/>
      <c r="I328" s="38"/>
      <c r="J328" s="45"/>
      <c r="K328" s="38"/>
      <c r="L328" s="38"/>
      <c r="M328" s="38"/>
    </row>
    <row r="329" spans="1:13" x14ac:dyDescent="0.2">
      <c r="A329" s="38"/>
      <c r="B329" s="38"/>
      <c r="C329" s="38"/>
      <c r="D329" s="38"/>
      <c r="E329" s="38"/>
      <c r="F329" s="38"/>
      <c r="G329" s="89"/>
      <c r="H329" s="38"/>
      <c r="I329" s="38"/>
      <c r="J329" s="45"/>
      <c r="K329" s="38"/>
      <c r="L329" s="38"/>
      <c r="M329" s="38"/>
    </row>
    <row r="330" spans="1:13" x14ac:dyDescent="0.2">
      <c r="A330" s="38"/>
      <c r="B330" s="38"/>
      <c r="C330" s="38"/>
      <c r="D330" s="38"/>
      <c r="E330" s="38"/>
      <c r="F330" s="38"/>
      <c r="G330" s="89"/>
      <c r="H330" s="38"/>
      <c r="I330" s="38"/>
      <c r="J330" s="45"/>
      <c r="K330" s="38"/>
      <c r="L330" s="38"/>
      <c r="M330" s="38"/>
    </row>
    <row r="331" spans="1:13" x14ac:dyDescent="0.2">
      <c r="A331" s="38"/>
      <c r="B331" s="38"/>
      <c r="C331" s="38"/>
      <c r="D331" s="38"/>
      <c r="E331" s="38"/>
      <c r="F331" s="38"/>
      <c r="G331" s="89"/>
      <c r="H331" s="38"/>
      <c r="I331" s="38"/>
      <c r="J331" s="45"/>
      <c r="K331" s="38"/>
      <c r="L331" s="38"/>
      <c r="M331" s="38"/>
    </row>
    <row r="332" spans="1:13" x14ac:dyDescent="0.2">
      <c r="A332" s="38"/>
      <c r="B332" s="38"/>
      <c r="C332" s="38"/>
      <c r="D332" s="38"/>
      <c r="E332" s="38"/>
      <c r="F332" s="38"/>
      <c r="G332" s="89"/>
      <c r="H332" s="38"/>
      <c r="I332" s="38"/>
      <c r="J332" s="45"/>
      <c r="K332" s="38"/>
      <c r="L332" s="38"/>
      <c r="M332" s="38"/>
    </row>
    <row r="333" spans="1:13" x14ac:dyDescent="0.2">
      <c r="A333" s="38"/>
      <c r="B333" s="38"/>
      <c r="C333" s="38"/>
      <c r="D333" s="38"/>
      <c r="E333" s="38"/>
      <c r="F333" s="38"/>
      <c r="G333" s="89"/>
      <c r="H333" s="38"/>
      <c r="I333" s="38"/>
      <c r="J333" s="45"/>
      <c r="K333" s="38"/>
      <c r="L333" s="38"/>
      <c r="M333" s="38"/>
    </row>
    <row r="334" spans="1:13" x14ac:dyDescent="0.2">
      <c r="A334" s="38"/>
      <c r="B334" s="38"/>
      <c r="C334" s="38"/>
      <c r="D334" s="38"/>
      <c r="E334" s="38"/>
      <c r="F334" s="38"/>
      <c r="G334" s="89"/>
      <c r="H334" s="38"/>
      <c r="I334" s="38"/>
      <c r="J334" s="45"/>
      <c r="K334" s="38"/>
      <c r="L334" s="38"/>
      <c r="M334" s="38"/>
    </row>
    <row r="335" spans="1:13" x14ac:dyDescent="0.2">
      <c r="A335" s="38"/>
      <c r="B335" s="38"/>
      <c r="C335" s="38"/>
      <c r="D335" s="38"/>
      <c r="E335" s="38"/>
      <c r="F335" s="38"/>
      <c r="G335" s="89"/>
      <c r="H335" s="38"/>
      <c r="I335" s="38"/>
      <c r="J335" s="45"/>
      <c r="K335" s="38"/>
      <c r="L335" s="38"/>
      <c r="M335" s="38"/>
    </row>
    <row r="336" spans="1:13" x14ac:dyDescent="0.2">
      <c r="A336" s="38"/>
      <c r="B336" s="38"/>
      <c r="C336" s="38"/>
      <c r="D336" s="38"/>
      <c r="E336" s="38"/>
      <c r="F336" s="38"/>
      <c r="G336" s="89"/>
      <c r="H336" s="38"/>
      <c r="I336" s="38"/>
      <c r="J336" s="45"/>
      <c r="K336" s="38"/>
      <c r="L336" s="38"/>
      <c r="M336" s="38"/>
    </row>
    <row r="337" spans="1:13" x14ac:dyDescent="0.2">
      <c r="A337" s="38"/>
      <c r="B337" s="38"/>
      <c r="C337" s="38"/>
      <c r="D337" s="38"/>
      <c r="E337" s="38"/>
      <c r="F337" s="38"/>
      <c r="G337" s="89"/>
      <c r="H337" s="38"/>
      <c r="I337" s="38"/>
      <c r="J337" s="45"/>
      <c r="K337" s="38"/>
      <c r="L337" s="38"/>
      <c r="M337" s="38"/>
    </row>
    <row r="338" spans="1:13" x14ac:dyDescent="0.2">
      <c r="A338" s="38"/>
      <c r="B338" s="38"/>
      <c r="C338" s="38"/>
      <c r="D338" s="38"/>
      <c r="E338" s="38"/>
      <c r="F338" s="38"/>
      <c r="G338" s="89"/>
      <c r="H338" s="38"/>
      <c r="I338" s="38"/>
      <c r="J338" s="45"/>
      <c r="K338" s="38"/>
      <c r="L338" s="38"/>
      <c r="M338" s="38"/>
    </row>
    <row r="339" spans="1:13" x14ac:dyDescent="0.2">
      <c r="A339" s="38"/>
      <c r="B339" s="38"/>
      <c r="C339" s="38"/>
      <c r="D339" s="38"/>
      <c r="E339" s="38"/>
      <c r="F339" s="38"/>
      <c r="G339" s="89"/>
      <c r="H339" s="38"/>
      <c r="I339" s="38"/>
      <c r="J339" s="45"/>
      <c r="K339" s="38"/>
      <c r="L339" s="38"/>
      <c r="M339" s="38"/>
    </row>
    <row r="340" spans="1:13" x14ac:dyDescent="0.2">
      <c r="A340" s="38"/>
      <c r="B340" s="38"/>
      <c r="C340" s="38"/>
      <c r="D340" s="38"/>
      <c r="E340" s="38"/>
      <c r="F340" s="38"/>
      <c r="G340" s="89"/>
      <c r="H340" s="38"/>
      <c r="I340" s="38"/>
      <c r="J340" s="45"/>
      <c r="K340" s="38"/>
      <c r="L340" s="38"/>
      <c r="M340" s="38"/>
    </row>
    <row r="341" spans="1:13" x14ac:dyDescent="0.2">
      <c r="A341" s="38"/>
      <c r="B341" s="38"/>
      <c r="C341" s="38"/>
      <c r="D341" s="38"/>
      <c r="E341" s="38"/>
      <c r="F341" s="38"/>
      <c r="G341" s="89"/>
      <c r="H341" s="38"/>
      <c r="I341" s="38"/>
      <c r="J341" s="45"/>
      <c r="K341" s="38"/>
      <c r="L341" s="38"/>
      <c r="M341" s="38"/>
    </row>
    <row r="342" spans="1:13" x14ac:dyDescent="0.2">
      <c r="A342" s="38"/>
      <c r="B342" s="38"/>
      <c r="C342" s="38"/>
      <c r="D342" s="38"/>
      <c r="E342" s="38"/>
      <c r="F342" s="38"/>
      <c r="G342" s="89"/>
      <c r="H342" s="38"/>
      <c r="I342" s="38"/>
      <c r="J342" s="45"/>
      <c r="K342" s="38"/>
      <c r="L342" s="38"/>
      <c r="M342" s="38"/>
    </row>
    <row r="343" spans="1:13" x14ac:dyDescent="0.2">
      <c r="A343" s="38"/>
      <c r="B343" s="38"/>
      <c r="C343" s="38"/>
      <c r="D343" s="38"/>
      <c r="E343" s="38"/>
      <c r="F343" s="38"/>
      <c r="G343" s="89"/>
      <c r="H343" s="38"/>
      <c r="I343" s="38"/>
      <c r="J343" s="45"/>
      <c r="K343" s="38"/>
      <c r="L343" s="38"/>
      <c r="M343" s="38"/>
    </row>
    <row r="344" spans="1:13" x14ac:dyDescent="0.2">
      <c r="A344" s="38"/>
      <c r="B344" s="38"/>
      <c r="C344" s="38"/>
      <c r="D344" s="38"/>
      <c r="E344" s="38"/>
      <c r="F344" s="38"/>
      <c r="G344" s="89"/>
      <c r="H344" s="38"/>
      <c r="I344" s="38"/>
      <c r="J344" s="45"/>
      <c r="K344" s="38"/>
      <c r="L344" s="38"/>
      <c r="M344" s="38"/>
    </row>
    <row r="345" spans="1:13" x14ac:dyDescent="0.2">
      <c r="A345" s="38"/>
      <c r="B345" s="38"/>
      <c r="C345" s="38"/>
      <c r="D345" s="38"/>
      <c r="E345" s="38"/>
      <c r="F345" s="38"/>
      <c r="G345" s="89"/>
      <c r="H345" s="38"/>
      <c r="I345" s="38"/>
      <c r="J345" s="45"/>
      <c r="K345" s="38"/>
      <c r="L345" s="38"/>
      <c r="M345" s="38"/>
    </row>
    <row r="346" spans="1:13" x14ac:dyDescent="0.2">
      <c r="A346" s="38"/>
      <c r="B346" s="38"/>
      <c r="C346" s="38"/>
      <c r="D346" s="38"/>
      <c r="E346" s="38"/>
      <c r="F346" s="38"/>
      <c r="G346" s="89"/>
      <c r="H346" s="38"/>
      <c r="I346" s="38"/>
      <c r="J346" s="45"/>
      <c r="K346" s="38"/>
      <c r="L346" s="38"/>
      <c r="M346" s="38"/>
    </row>
    <row r="347" spans="1:13" x14ac:dyDescent="0.2">
      <c r="A347" s="38"/>
      <c r="B347" s="38"/>
      <c r="C347" s="38"/>
      <c r="D347" s="38"/>
      <c r="E347" s="38"/>
      <c r="F347" s="38"/>
      <c r="G347" s="89"/>
      <c r="H347" s="38"/>
      <c r="I347" s="38"/>
      <c r="J347" s="45"/>
      <c r="K347" s="38"/>
      <c r="L347" s="38"/>
      <c r="M347" s="38"/>
    </row>
    <row r="348" spans="1:13" x14ac:dyDescent="0.2">
      <c r="A348" s="38"/>
      <c r="B348" s="38"/>
      <c r="C348" s="38"/>
      <c r="D348" s="38"/>
      <c r="E348" s="38"/>
      <c r="F348" s="38"/>
      <c r="G348" s="89"/>
      <c r="H348" s="38"/>
      <c r="I348" s="38"/>
      <c r="J348" s="45"/>
      <c r="K348" s="38"/>
      <c r="L348" s="38"/>
      <c r="M348" s="38"/>
    </row>
    <row r="349" spans="1:13" x14ac:dyDescent="0.2">
      <c r="A349" s="38"/>
      <c r="B349" s="38"/>
      <c r="C349" s="38"/>
      <c r="D349" s="38"/>
      <c r="E349" s="38"/>
      <c r="F349" s="38"/>
      <c r="G349" s="89"/>
      <c r="H349" s="38"/>
      <c r="I349" s="38"/>
      <c r="J349" s="45"/>
      <c r="K349" s="38"/>
      <c r="L349" s="38"/>
      <c r="M349" s="38"/>
    </row>
    <row r="350" spans="1:13" x14ac:dyDescent="0.2">
      <c r="A350" s="38"/>
      <c r="B350" s="38"/>
      <c r="C350" s="38"/>
      <c r="D350" s="38"/>
      <c r="E350" s="38"/>
      <c r="F350" s="38"/>
      <c r="G350" s="89"/>
      <c r="H350" s="38"/>
      <c r="I350" s="38"/>
      <c r="J350" s="45"/>
      <c r="K350" s="38"/>
      <c r="L350" s="38"/>
      <c r="M350" s="38"/>
    </row>
  </sheetData>
  <autoFilter ref="A1:M1" xr:uid="{00000000-0009-0000-0000-000003000000}">
    <sortState xmlns:xlrd2="http://schemas.microsoft.com/office/spreadsheetml/2017/richdata2" ref="A2:M27">
      <sortCondition ref="J1"/>
    </sortState>
  </autoFilter>
  <conditionalFormatting sqref="A2:M2 E3:M5 A3:D27 J6:M10 E6:I27 J11:L13 M11:M21 K14:L21 K22:M27">
    <cfRule type="expression" dxfId="71" priority="13">
      <formula>$AA2="Yüklenmedi"</formula>
    </cfRule>
    <cfRule type="expression" dxfId="70" priority="14">
      <formula>$AA2="Antrepoda"</formula>
    </cfRule>
    <cfRule type="expression" dxfId="69" priority="15">
      <formula>$AA2="Yolda"</formula>
    </cfRule>
    <cfRule type="expression" dxfId="68" priority="16">
      <formula>$AA2="İçeri Çekildi"</formula>
    </cfRule>
  </conditionalFormatting>
  <conditionalFormatting sqref="J14:J27 A28:M350">
    <cfRule type="expression" dxfId="67" priority="1">
      <formula>$AA14="Yüklenmedi"</formula>
    </cfRule>
    <cfRule type="expression" dxfId="66" priority="2">
      <formula>$AA14="Antrepoda"</formula>
    </cfRule>
    <cfRule type="expression" dxfId="65" priority="3">
      <formula>$AA14="Yolda"</formula>
    </cfRule>
    <cfRule type="expression" dxfId="64" priority="4">
      <formula>$AA14="İçeri Çekildi"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O30"/>
  <sheetViews>
    <sheetView workbookViewId="0">
      <pane ySplit="1" topLeftCell="A2" activePane="bottomLeft" state="frozen"/>
      <selection activeCell="E1" sqref="E1"/>
      <selection pane="bottomLeft" activeCell="F14" sqref="F14"/>
    </sheetView>
  </sheetViews>
  <sheetFormatPr defaultRowHeight="12.75" x14ac:dyDescent="0.2"/>
  <cols>
    <col min="1" max="1" width="9.7109375" bestFit="1" customWidth="1"/>
    <col min="2" max="2" width="10.28515625" bestFit="1" customWidth="1"/>
    <col min="3" max="4" width="10.42578125" bestFit="1" customWidth="1"/>
    <col min="5" max="5" width="12.7109375" bestFit="1" customWidth="1"/>
    <col min="6" max="6" width="39.85546875" bestFit="1" customWidth="1"/>
    <col min="7" max="7" width="10.7109375" customWidth="1"/>
    <col min="8" max="8" width="9.140625" style="41"/>
    <col min="9" max="9" width="11.7109375" style="72" bestFit="1" customWidth="1"/>
    <col min="10" max="10" width="11.7109375" customWidth="1"/>
    <col min="11" max="11" width="12.7109375" bestFit="1" customWidth="1"/>
    <col min="12" max="12" width="31.28515625" bestFit="1" customWidth="1"/>
    <col min="13" max="13" width="10.5703125" bestFit="1" customWidth="1"/>
    <col min="14" max="14" width="14.42578125" customWidth="1"/>
    <col min="15" max="15" width="12.7109375" style="41" customWidth="1"/>
  </cols>
  <sheetData>
    <row r="1" spans="1:15" ht="25.5" customHeight="1" x14ac:dyDescent="0.2">
      <c r="A1" s="96" t="s">
        <v>160</v>
      </c>
      <c r="B1" s="96" t="s">
        <v>325</v>
      </c>
      <c r="C1" s="15" t="s">
        <v>156</v>
      </c>
      <c r="D1" s="15" t="s">
        <v>157</v>
      </c>
      <c r="E1" s="15" t="s">
        <v>306</v>
      </c>
      <c r="F1" s="15" t="s">
        <v>305</v>
      </c>
      <c r="G1" s="15" t="s">
        <v>302</v>
      </c>
      <c r="H1" s="39" t="s">
        <v>309</v>
      </c>
      <c r="I1" s="87" t="s">
        <v>244</v>
      </c>
      <c r="J1" s="15"/>
      <c r="K1" s="15" t="s">
        <v>307</v>
      </c>
      <c r="L1" s="15" t="s">
        <v>308</v>
      </c>
      <c r="M1" s="15" t="s">
        <v>303</v>
      </c>
      <c r="N1" s="15" t="s">
        <v>304</v>
      </c>
      <c r="O1" s="39" t="s">
        <v>310</v>
      </c>
    </row>
    <row r="2" spans="1:15" x14ac:dyDescent="0.2">
      <c r="A2" s="62" t="str">
        <f>IFERROR(HYPERLINK("#"&amp;ADDRESS(MATCH($C2,'SATIN ALMA'!$W:$W,0),COLUMN('SATIN ALMA'!$W:$W),1,1,"SATIN ALMA"),"Git →"),"Bulunamadı")</f>
        <v>Git →</v>
      </c>
      <c r="B2" s="62" t="str">
        <f>IFERROR(HYPERLINK("#"&amp;ADDRESS(MATCH($C2,'GİRİŞ ANALİZİ'!$B:$B,0),COLUMN('GİRİŞ ANALİZİ'!$B:$B),1,1,"GİRİŞ ANALİZİ"),"Git →"),"Bulunamadı")</f>
        <v>Git →</v>
      </c>
      <c r="C2" s="62" t="str">
        <f>IFERROR(INDEX('SATIN ALMA'!$W:$W, MATCH($I2, 'SATIN ALMA'!$X:$X, 0)),"Bulunamadı")</f>
        <v>HD20912-3</v>
      </c>
      <c r="D2" s="63" t="str">
        <f>IFERROR(INDEX('SATIN ALMA'!$F:$F, MATCH($I2, 'SATIN ALMA'!$X:$X, 0)),"Bulunamadı")</f>
        <v>LIEN VIET</v>
      </c>
      <c r="E2" s="37" t="str">
        <f>IFERROR(INDEX('SATIN ALMA'!$C:$C, MATCH($I2, 'SATIN ALMA'!$X:$X, 0)),"Bulunamadı"
)</f>
        <v>H5130003</v>
      </c>
      <c r="F2" s="37" t="str">
        <f>IFERROR(INDEX('SATIN ALMA'!$D:$D, MATCH($I2, 'SATIN ALMA'!$X:$X, 0)),"Bulunamadı"
)</f>
        <v>HW.CASHEW NUT W320____________( 22.68 KG )</v>
      </c>
      <c r="G2" s="37">
        <f>IFERROR(INDEX('GİRİŞ ANALİZİ'!$E:$E, MATCH($I2,'GİRİŞ ANALİZİ'!$D:$D, 0)),"Bulunamadı")</f>
        <v>498287</v>
      </c>
      <c r="H2" s="73">
        <v>5649</v>
      </c>
      <c r="I2" s="45">
        <v>22</v>
      </c>
      <c r="J2" s="156"/>
      <c r="K2" s="158" t="str">
        <f>IF(ÜRETİM!L2="W.CASHEW NUT W320 KAV.(SEMBOL)","05130004",IF(ÜRETİM!L2="W.CASHEW NUT W240 KAV.(STAR)","05130002",IF(ÜRETİM!L2="W.CASHEW NUT W320 KAVR (BUNGEE)","05130045","")))</f>
        <v>05130004</v>
      </c>
      <c r="L2" s="156" t="s">
        <v>299</v>
      </c>
      <c r="M2" s="156">
        <v>503442</v>
      </c>
      <c r="N2" s="156" t="str">
        <f>IFERROR(HYPERLINK("#"&amp;ADDRESS(MATCH($M2,'ÇIKIŞ ANALİZİ'!$B:$B,0),COLUMN('ÇIKIŞ ANALİZİ'!$B:$B),1,1,"ÇIKIŞ ANALİZİ"),"Git →"),"Bulunamadı")</f>
        <v>Git →</v>
      </c>
      <c r="O2" s="160">
        <v>11298</v>
      </c>
    </row>
    <row r="3" spans="1:15" ht="13.5" thickBot="1" x14ac:dyDescent="0.25">
      <c r="A3" s="84" t="str">
        <f>IFERROR(HYPERLINK("#"&amp;ADDRESS(MATCH($C3,'SATIN ALMA'!$W:$W,0),COLUMN('SATIN ALMA'!$W:$W),1,1,"SATIN ALMA"),"Git →"),"Bulunamadı")</f>
        <v>Git →</v>
      </c>
      <c r="B3" s="84" t="str">
        <f>IFERROR(HYPERLINK("#"&amp;ADDRESS(MATCH($C3,'GİRİŞ ANALİZİ'!$B:$B,0),COLUMN('GİRİŞ ANALİZİ'!$B:$B),1,1,"GİRİŞ ANALİZİ"),"Git →"),"Bulunamadı")</f>
        <v>Git →</v>
      </c>
      <c r="C3" s="84" t="str">
        <f>IFERROR(INDEX('SATIN ALMA'!$W:$W, MATCH($I3, 'SATIN ALMA'!$X:$X, 0)),"Bulunamadı")</f>
        <v>HD29312-3</v>
      </c>
      <c r="D3" s="77" t="str">
        <f>IFERROR(INDEX('SATIN ALMA'!$F:$F, MATCH($I3, 'SATIN ALMA'!$X:$X, 0)),"Bulunamadı")</f>
        <v>LIEN VIET</v>
      </c>
      <c r="E3" s="78" t="str">
        <f>IFERROR(INDEX('SATIN ALMA'!$C:$C, MATCH($I3, 'SATIN ALMA'!$X:$X, 0)),"Bulunamadı"
)</f>
        <v>H5130003</v>
      </c>
      <c r="F3" s="78" t="str">
        <f>IFERROR(INDEX('SATIN ALMA'!$D:$D, MATCH($I3, 'SATIN ALMA'!$X:$X, 0)),"Bulunamadı"
)</f>
        <v>HW.CASHEW NUT W320____________( 22.68 KG )</v>
      </c>
      <c r="G3" s="78">
        <f>IFERROR(INDEX('GİRİŞ ANALİZİ'!$E:$E, MATCH($I3,'GİRİŞ ANALİZİ'!$D:$D, 0)),"Bulunamadı")</f>
        <v>499804</v>
      </c>
      <c r="H3" s="79">
        <v>5649</v>
      </c>
      <c r="I3" s="80">
        <v>25</v>
      </c>
      <c r="J3" s="157"/>
      <c r="K3" s="159"/>
      <c r="L3" s="157"/>
      <c r="M3" s="157"/>
      <c r="N3" s="157"/>
      <c r="O3" s="161"/>
    </row>
    <row r="4" spans="1:15" x14ac:dyDescent="0.2">
      <c r="A4" s="62" t="str">
        <f>IFERROR(HYPERLINK("#"&amp;ADDRESS(MATCH($C4,'SATIN ALMA'!$W:$W,0),COLUMN('SATIN ALMA'!$W:$W),1,1,"SATIN ALMA"),"Git →"),"Bulunamadı")</f>
        <v>Git →</v>
      </c>
      <c r="B4" s="62" t="str">
        <f>IFERROR(HYPERLINK("#"&amp;ADDRESS(MATCH($C4,'GİRİŞ ANALİZİ'!$B:$B,0),COLUMN('GİRİŞ ANALİZİ'!$B:$B),1,1,"GİRİŞ ANALİZİ"),"Git →"),"Bulunamadı")</f>
        <v>Git →</v>
      </c>
      <c r="C4" s="62" t="str">
        <f>IFERROR(INDEX('SATIN ALMA'!$W:$W, MATCH($I4, 'SATIN ALMA'!$X:$X, 0)),"Bulunamadı")</f>
        <v>HD20912-3</v>
      </c>
      <c r="D4" s="76" t="str">
        <f>IFERROR(INDEX('SATIN ALMA'!$F:$F, MATCH($I4, 'SATIN ALMA'!$X:$X, 0)),"Bulunamadı")</f>
        <v>LIEN VIET</v>
      </c>
      <c r="E4" s="85" t="str">
        <f>IFERROR(INDEX('SATIN ALMA'!$C:$C, MATCH($I4, 'SATIN ALMA'!$X:$X, 0)),"Bulunamadı"
)</f>
        <v>H5130003</v>
      </c>
      <c r="F4" s="81" t="str">
        <f>IFERROR(INDEX('SATIN ALMA'!$D:$D, MATCH($I4, 'SATIN ALMA'!$X:$X, 0)),"Bulunamadı"
)</f>
        <v>HW.CASHEW NUT W320____________( 22.68 KG )</v>
      </c>
      <c r="G4" s="81">
        <f>IFERROR(INDEX('GİRİŞ ANALİZİ'!$E:$E, MATCH($I4,'GİRİŞ ANALİZİ'!$D:$D, 0)),"Bulunamadı")</f>
        <v>498287</v>
      </c>
      <c r="H4" s="82"/>
      <c r="I4" s="83">
        <v>22</v>
      </c>
      <c r="J4" s="162"/>
      <c r="K4" s="163" t="str">
        <f>IF(ÜRETİM!L4="W.CASHEW NUT W320 KAV.(SEMBOL)","05130004",IF(ÜRETİM!L4="W.CASHEW NUT W240 KAV.(STAR)","05130002",IF(ÜRETİM!L4="W.CASHEW NUT W320 KAVR (BUNGEE)","05130045","")))</f>
        <v>05130004</v>
      </c>
      <c r="L4" s="156" t="s">
        <v>299</v>
      </c>
      <c r="M4" s="162">
        <v>503992</v>
      </c>
      <c r="N4" s="156" t="str">
        <f>IFERROR(HYPERLINK("#"&amp;ADDRESS(MATCH($M4,'ÇIKIŞ ANALİZİ'!$B:$B,0),COLUMN('ÇIKIŞ ANALİZİ'!$B:$B),1,1,"ÇIKIŞ ANALİZİ"),"Git →"),"Bulunamadı")</f>
        <v>Git →</v>
      </c>
      <c r="O4" s="164"/>
    </row>
    <row r="5" spans="1:15" ht="13.5" thickBot="1" x14ac:dyDescent="0.25">
      <c r="A5" s="84" t="str">
        <f>IFERROR(HYPERLINK("#"&amp;ADDRESS(MATCH($C5,'SATIN ALMA'!$W:$W,0),COLUMN('SATIN ALMA'!$W:$W),1,1,"SATIN ALMA"),"Git →"),"Bulunamadı")</f>
        <v>Git →</v>
      </c>
      <c r="B5" s="84" t="str">
        <f>IFERROR(HYPERLINK("#"&amp;ADDRESS(MATCH($C5,'GİRİŞ ANALİZİ'!$B:$B,0),COLUMN('GİRİŞ ANALİZİ'!$B:$B),1,1,"GİRİŞ ANALİZİ"),"Git →"),"Bulunamadı")</f>
        <v>Git →</v>
      </c>
      <c r="C5" s="84" t="str">
        <f>IFERROR(INDEX('SATIN ALMA'!$W:$W, MATCH($I5, 'SATIN ALMA'!$X:$X, 0)),"Bulunamadı")</f>
        <v>HD29312-2</v>
      </c>
      <c r="D5" s="77" t="str">
        <f>IFERROR(INDEX('SATIN ALMA'!$F:$F, MATCH($I5, 'SATIN ALMA'!$X:$X, 0)),"Bulunamadı")</f>
        <v>LIEN VIET</v>
      </c>
      <c r="E5" s="86" t="str">
        <f>IFERROR(INDEX('SATIN ALMA'!$C:$C, MATCH($I5, 'SATIN ALMA'!$X:$X, 0)),"Bulunamadı"
)</f>
        <v>H5130003</v>
      </c>
      <c r="F5" s="78" t="str">
        <f>IFERROR(INDEX('SATIN ALMA'!$D:$D, MATCH($I5, 'SATIN ALMA'!$X:$X, 0)),"Bulunamadı"
)</f>
        <v>HW.CASHEW NUT W320____________( 22.68 KG )</v>
      </c>
      <c r="G5" s="78">
        <f>IFERROR(INDEX('GİRİŞ ANALİZİ'!$E:$E, MATCH($I5,'GİRİŞ ANALİZİ'!$D:$D, 0)),"Bulunamadı")</f>
        <v>499803</v>
      </c>
      <c r="H5" s="79"/>
      <c r="I5" s="80">
        <v>24</v>
      </c>
      <c r="J5" s="157"/>
      <c r="K5" s="159"/>
      <c r="L5" s="157"/>
      <c r="M5" s="157"/>
      <c r="N5" s="157"/>
      <c r="O5" s="161"/>
    </row>
    <row r="6" spans="1:15" x14ac:dyDescent="0.2">
      <c r="A6" s="62" t="str">
        <f>IFERROR(HYPERLINK("#"&amp;ADDRESS(MATCH($C6,'SATIN ALMA'!$W:$W,0),COLUMN('SATIN ALMA'!$W:$W),1,1,"SATIN ALMA"),"Git →"),"Bulunamadı")</f>
        <v>Git →</v>
      </c>
      <c r="B6" s="62" t="str">
        <f>IFERROR(HYPERLINK("#"&amp;ADDRESS(MATCH($C6,'GİRİŞ ANALİZİ'!$B:$B,0),COLUMN('GİRİŞ ANALİZİ'!$B:$B),1,1,"GİRİŞ ANALİZİ"),"Git →"),"Bulunamadı")</f>
        <v>Git →</v>
      </c>
      <c r="C6" s="62" t="str">
        <f>IFERROR(INDEX('SATIN ALMA'!$W:$W, MATCH($I6, 'SATIN ALMA'!$X:$X, 0)),"Bulunamadı")</f>
        <v>HD20912-3</v>
      </c>
      <c r="D6" s="76" t="str">
        <f>IFERROR(INDEX('SATIN ALMA'!$F:$F, MATCH($I6, 'SATIN ALMA'!$X:$X, 0)),"Bulunamadı")</f>
        <v>LIEN VIET</v>
      </c>
      <c r="E6" s="85" t="str">
        <f>IFERROR(INDEX('SATIN ALMA'!$C:$C, MATCH($I6, 'SATIN ALMA'!$X:$X, 0)),"Bulunamadı"
)</f>
        <v>H5130003</v>
      </c>
      <c r="F6" s="81" t="str">
        <f>IFERROR(INDEX('SATIN ALMA'!$D:$D, MATCH($I6, 'SATIN ALMA'!$X:$X, 0)),"Bulunamadı"
)</f>
        <v>HW.CASHEW NUT W320____________( 22.68 KG )</v>
      </c>
      <c r="G6" s="81">
        <f>IFERROR(INDEX('GİRİŞ ANALİZİ'!$E:$E, MATCH($I6,'GİRİŞ ANALİZİ'!$D:$D, 0)),"Bulunamadı")</f>
        <v>498287</v>
      </c>
      <c r="H6" s="82"/>
      <c r="I6" s="83">
        <v>22</v>
      </c>
      <c r="J6" s="162"/>
      <c r="K6" s="163" t="str">
        <f>IF(ÜRETİM!L6="W.CASHEW NUT W320 KAV.(SEMBOL)","05130004",IF(ÜRETİM!L6="W.CASHEW NUT W240 KAV.(STAR)","05130002",IF(ÜRETİM!L6="W.CASHEW NUT W320 KAVR (BUNGEE)","05130045","")))</f>
        <v>05130004</v>
      </c>
      <c r="L6" s="156" t="s">
        <v>299</v>
      </c>
      <c r="M6" s="162">
        <v>505967</v>
      </c>
      <c r="N6" s="156" t="str">
        <f>IFERROR(HYPERLINK("#"&amp;ADDRESS(MATCH($M6,'ÇIKIŞ ANALİZİ'!$B:$B,0),COLUMN('ÇIKIŞ ANALİZİ'!$B:$B),1,1,"ÇIKIŞ ANALİZİ"),"Git →"),"Bulunamadı")</f>
        <v>Git →</v>
      </c>
      <c r="O6" s="164">
        <v>32735</v>
      </c>
    </row>
    <row r="7" spans="1:15" ht="13.5" thickBot="1" x14ac:dyDescent="0.25">
      <c r="A7" s="84" t="str">
        <f>IFERROR(HYPERLINK("#"&amp;ADDRESS(MATCH($C7,'SATIN ALMA'!$W:$W,0),COLUMN('SATIN ALMA'!$W:$W),1,1,"SATIN ALMA"),"Git →"),"Bulunamadı")</f>
        <v>Git →</v>
      </c>
      <c r="B7" s="84" t="str">
        <f>IFERROR(HYPERLINK("#"&amp;ADDRESS(MATCH($C7,'GİRİŞ ANALİZİ'!$B:$B,0),COLUMN('GİRİŞ ANALİZİ'!$B:$B),1,1,"GİRİŞ ANALİZİ"),"Git →"),"Bulunamadı")</f>
        <v>Git →</v>
      </c>
      <c r="C7" s="84" t="str">
        <f>IFERROR(INDEX('SATIN ALMA'!$W:$W, MATCH($I7, 'SATIN ALMA'!$X:$X, 0)),"Bulunamadı")</f>
        <v>HD29312-2</v>
      </c>
      <c r="D7" s="77" t="str">
        <f>IFERROR(INDEX('SATIN ALMA'!$F:$F, MATCH($I7, 'SATIN ALMA'!$X:$X, 0)),"Bulunamadı")</f>
        <v>LIEN VIET</v>
      </c>
      <c r="E7" s="86" t="str">
        <f>IFERROR(INDEX('SATIN ALMA'!$C:$C, MATCH($I7, 'SATIN ALMA'!$X:$X, 0)),"Bulunamadı"
)</f>
        <v>H5130003</v>
      </c>
      <c r="F7" s="78" t="str">
        <f>IFERROR(INDEX('SATIN ALMA'!$D:$D, MATCH($I7, 'SATIN ALMA'!$X:$X, 0)),"Bulunamadı"
)</f>
        <v>HW.CASHEW NUT W320____________( 22.68 KG )</v>
      </c>
      <c r="G7" s="78">
        <f>IFERROR(INDEX('GİRİŞ ANALİZİ'!$E:$E, MATCH($I7,'GİRİŞ ANALİZİ'!$D:$D, 0)),"Bulunamadı")</f>
        <v>499803</v>
      </c>
      <c r="H7" s="79"/>
      <c r="I7" s="80">
        <v>24</v>
      </c>
      <c r="J7" s="157"/>
      <c r="K7" s="159"/>
      <c r="L7" s="157"/>
      <c r="M7" s="165"/>
      <c r="N7" s="157"/>
      <c r="O7" s="161"/>
    </row>
    <row r="8" spans="1:15" x14ac:dyDescent="0.2">
      <c r="A8" s="62" t="str">
        <f>IFERROR(HYPERLINK("#"&amp;ADDRESS(MATCH($C8,'SATIN ALMA'!$W:$W,0),COLUMN('SATIN ALMA'!$W:$W),1,1,"SATIN ALMA"),"Git →"),"Bulunamadı")</f>
        <v>Git →</v>
      </c>
      <c r="B8" s="62" t="str">
        <f>IFERROR(HYPERLINK("#"&amp;ADDRESS(MATCH($C8,'GİRİŞ ANALİZİ'!$B:$B,0),COLUMN('GİRİŞ ANALİZİ'!$B:$B),1,1,"GİRİŞ ANALİZİ"),"Git →"),"Bulunamadı")</f>
        <v>Bulunamadı</v>
      </c>
      <c r="C8" s="62" t="str">
        <f>IFERROR(INDEX('SATIN ALMA'!$W:$W, MATCH($I8, 'SATIN ALMA'!$X:$X, 0)),"Bulunamadı")</f>
        <v>HD57711</v>
      </c>
      <c r="D8" s="76" t="str">
        <f>IFERROR(INDEX('SATIN ALMA'!$F:$F, MATCH($I8, 'SATIN ALMA'!$X:$X, 0)),"Bulunamadı")</f>
        <v>NGAN NGOC</v>
      </c>
      <c r="E8" s="85" t="str">
        <f>IFERROR(INDEX('SATIN ALMA'!$C:$C, MATCH($I8, 'SATIN ALMA'!$X:$X, 0)),"Bulunamadı"
)</f>
        <v>H5130001</v>
      </c>
      <c r="F8" s="81" t="str">
        <f>IFERROR(INDEX('SATIN ALMA'!$D:$D, MATCH($I8, 'SATIN ALMA'!$X:$X, 0)),"Bulunamadı"
)</f>
        <v>HW.CASHEW NUT W240____________( 22.68 KG )</v>
      </c>
      <c r="G8" s="81" t="str">
        <f>IFERROR(INDEX('GİRİŞ ANALİZİ'!$E:$E, MATCH($I8,'GİRİŞ ANALİZİ'!$D:$D, 0)),"Bulunamadı")</f>
        <v>Bulunamadı</v>
      </c>
      <c r="H8" s="73">
        <v>5274</v>
      </c>
      <c r="I8" s="45">
        <v>14</v>
      </c>
      <c r="J8" s="162"/>
      <c r="K8" s="163" t="str">
        <f>IF(ÜRETİM!L8="W.CASHEW NUT W320 KAV.(SEMBOL)","05130004",IF(ÜRETİM!L8="W.CASHEW NUT W240 KAV.(STAR)","05130002",IF(ÜRETİM!L8="W.CASHEW NUT W320 KAVR (BUNGEE)","05130045","")))</f>
        <v>05130002</v>
      </c>
      <c r="L8" s="156" t="s">
        <v>300</v>
      </c>
      <c r="M8" s="162">
        <v>507292</v>
      </c>
      <c r="N8" s="156" t="str">
        <f>IFERROR(HYPERLINK("#"&amp;ADDRESS(MATCH($M8,'ÇIKIŞ ANALİZİ'!$B:$B,0),COLUMN('ÇIKIŞ ANALİZİ'!$B:$B),1,1,"ÇIKIŞ ANALİZİ"),"Git →"),"Bulunamadı")</f>
        <v>Git →</v>
      </c>
      <c r="O8" s="164">
        <v>10548</v>
      </c>
    </row>
    <row r="9" spans="1:15" ht="13.5" thickBot="1" x14ac:dyDescent="0.25">
      <c r="A9" s="84" t="str">
        <f>IFERROR(HYPERLINK("#"&amp;ADDRESS(MATCH($C9,'SATIN ALMA'!$W:$W,0),COLUMN('SATIN ALMA'!$W:$W),1,1,"SATIN ALMA"),"Git →"),"Bulunamadı")</f>
        <v>Git →</v>
      </c>
      <c r="B9" s="84" t="str">
        <f>IFERROR(HYPERLINK("#"&amp;ADDRESS(MATCH($C9,'GİRİŞ ANALİZİ'!$B:$B,0),COLUMN('GİRİŞ ANALİZİ'!$B:$B),1,1,"GİRİŞ ANALİZİ"),"Git →"),"Bulunamadı")</f>
        <v>Bulunamadı</v>
      </c>
      <c r="C9" s="84" t="str">
        <f>IFERROR(INDEX('SATIN ALMA'!$W:$W, MATCH($I9, 'SATIN ALMA'!$X:$X, 0)),"Bulunamadı")</f>
        <v>HD59111</v>
      </c>
      <c r="D9" s="77" t="str">
        <f>IFERROR(INDEX('SATIN ALMA'!$F:$F, MATCH($I9, 'SATIN ALMA'!$X:$X, 0)),"Bulunamadı")</f>
        <v>MANH TUAN</v>
      </c>
      <c r="E9" s="86" t="str">
        <f>IFERROR(INDEX('SATIN ALMA'!$C:$C, MATCH($I9, 'SATIN ALMA'!$X:$X, 0)),"Bulunamadı"
)</f>
        <v>H5130001</v>
      </c>
      <c r="F9" s="78" t="str">
        <f>IFERROR(INDEX('SATIN ALMA'!$D:$D, MATCH($I9, 'SATIN ALMA'!$X:$X, 0)),"Bulunamadı"
)</f>
        <v>HW.CASHEW NUT W240____________( 22.68 KG )</v>
      </c>
      <c r="G9" s="78" t="str">
        <f>IFERROR(INDEX('GİRİŞ ANALİZİ'!$E:$E, MATCH($I9,'GİRİŞ ANALİZİ'!$D:$D, 0)),"Bulunamadı")</f>
        <v>Bulunamadı</v>
      </c>
      <c r="H9" s="79">
        <v>5274</v>
      </c>
      <c r="I9" s="80">
        <v>15</v>
      </c>
      <c r="J9" s="157"/>
      <c r="K9" s="159"/>
      <c r="L9" s="157"/>
      <c r="M9" s="157"/>
      <c r="N9" s="157"/>
      <c r="O9" s="161"/>
    </row>
    <row r="10" spans="1:15" x14ac:dyDescent="0.2">
      <c r="A10" s="62"/>
      <c r="B10" s="62"/>
      <c r="C10" s="51"/>
      <c r="D10" s="64"/>
      <c r="E10" s="51"/>
      <c r="F10" s="51"/>
      <c r="G10" s="51"/>
      <c r="H10" s="105"/>
      <c r="I10" s="104"/>
      <c r="J10" s="62"/>
      <c r="K10" s="62"/>
      <c r="L10" s="62"/>
      <c r="M10" s="106"/>
      <c r="N10" s="62"/>
      <c r="O10" s="73"/>
    </row>
    <row r="11" spans="1:15" x14ac:dyDescent="0.2">
      <c r="A11" s="62"/>
      <c r="B11" s="62"/>
      <c r="C11" s="51"/>
      <c r="D11" s="64"/>
      <c r="E11" s="51"/>
      <c r="F11" s="51"/>
      <c r="G11" s="51"/>
      <c r="H11" s="73"/>
      <c r="I11" s="45"/>
      <c r="J11" s="62"/>
      <c r="K11" s="62"/>
      <c r="L11" s="62"/>
      <c r="M11" s="62"/>
      <c r="N11" s="62"/>
      <c r="O11" s="73"/>
    </row>
    <row r="12" spans="1:15" x14ac:dyDescent="0.2">
      <c r="A12" s="62"/>
      <c r="B12" s="62"/>
      <c r="C12" s="51"/>
      <c r="D12" s="64"/>
      <c r="E12" s="51"/>
      <c r="F12" s="51"/>
      <c r="G12" s="51"/>
      <c r="H12" s="73"/>
      <c r="I12" s="45"/>
      <c r="J12" s="62"/>
      <c r="K12" s="62"/>
      <c r="L12" s="62"/>
      <c r="M12" s="62"/>
      <c r="N12" s="62"/>
      <c r="O12" s="73"/>
    </row>
    <row r="13" spans="1:15" x14ac:dyDescent="0.2">
      <c r="A13" s="62"/>
      <c r="B13" s="62"/>
      <c r="C13" s="51"/>
      <c r="D13" s="64"/>
      <c r="E13" s="51"/>
      <c r="F13" s="51"/>
      <c r="G13" s="51"/>
      <c r="H13" s="73"/>
      <c r="I13" s="45"/>
      <c r="J13" s="62"/>
      <c r="K13" s="62"/>
      <c r="L13" s="62"/>
      <c r="M13" s="62"/>
      <c r="N13" s="62"/>
      <c r="O13" s="73"/>
    </row>
    <row r="14" spans="1:15" x14ac:dyDescent="0.2">
      <c r="A14" s="62"/>
      <c r="B14" s="62"/>
      <c r="C14" s="51"/>
      <c r="D14" s="64"/>
      <c r="E14" s="51"/>
      <c r="F14" s="51"/>
      <c r="G14" s="51"/>
      <c r="H14" s="73"/>
      <c r="I14" s="45"/>
      <c r="J14" s="62"/>
      <c r="K14" s="62"/>
      <c r="L14" s="62"/>
      <c r="M14" s="62"/>
      <c r="N14" s="62"/>
      <c r="O14" s="73"/>
    </row>
    <row r="15" spans="1:15" x14ac:dyDescent="0.2">
      <c r="A15" s="62"/>
      <c r="B15" s="62"/>
      <c r="C15" s="51"/>
      <c r="D15" s="64"/>
      <c r="E15" s="51"/>
      <c r="F15" s="51"/>
      <c r="G15" s="51"/>
      <c r="H15" s="73"/>
      <c r="I15" s="45"/>
      <c r="J15" s="62"/>
      <c r="K15" s="62"/>
      <c r="L15" s="62"/>
      <c r="M15" s="62"/>
      <c r="N15" s="62"/>
      <c r="O15" s="73"/>
    </row>
    <row r="16" spans="1:15" x14ac:dyDescent="0.2">
      <c r="A16" s="62"/>
      <c r="B16" s="62"/>
      <c r="C16" s="51"/>
      <c r="D16" s="64"/>
      <c r="E16" s="51"/>
      <c r="F16" s="51"/>
      <c r="G16" s="51"/>
      <c r="H16" s="73"/>
      <c r="I16" s="45"/>
      <c r="J16" s="62"/>
      <c r="K16" s="62"/>
      <c r="L16" s="62"/>
      <c r="M16" s="62"/>
      <c r="N16" s="62"/>
      <c r="O16" s="73"/>
    </row>
    <row r="17" spans="1:15" x14ac:dyDescent="0.2">
      <c r="A17" s="62"/>
      <c r="B17" s="62"/>
      <c r="C17" s="51"/>
      <c r="D17" s="64"/>
      <c r="E17" s="51"/>
      <c r="F17" s="51"/>
      <c r="G17" s="51"/>
      <c r="H17" s="73"/>
      <c r="I17" s="45"/>
      <c r="J17" s="62"/>
      <c r="K17" s="62"/>
      <c r="L17" s="62"/>
      <c r="M17" s="62"/>
      <c r="N17" s="62"/>
      <c r="O17" s="73"/>
    </row>
    <row r="18" spans="1:15" x14ac:dyDescent="0.2">
      <c r="A18" s="62"/>
      <c r="B18" s="62"/>
      <c r="C18" s="51"/>
      <c r="D18" s="64"/>
      <c r="E18" s="51"/>
      <c r="F18" s="51"/>
      <c r="G18" s="51"/>
      <c r="H18" s="73"/>
      <c r="I18" s="45"/>
      <c r="J18" s="62"/>
      <c r="K18" s="62"/>
      <c r="L18" s="62"/>
      <c r="M18" s="62"/>
      <c r="N18" s="62"/>
      <c r="O18" s="73"/>
    </row>
    <row r="19" spans="1:15" x14ac:dyDescent="0.2">
      <c r="A19" s="62"/>
      <c r="B19" s="62"/>
      <c r="C19" s="51"/>
      <c r="D19" s="64"/>
      <c r="E19" s="51"/>
      <c r="F19" s="51"/>
      <c r="G19" s="51"/>
      <c r="H19" s="73"/>
      <c r="I19" s="45"/>
      <c r="J19" s="62"/>
      <c r="K19" s="62"/>
      <c r="L19" s="62"/>
      <c r="M19" s="62"/>
      <c r="N19" s="62"/>
      <c r="O19" s="73"/>
    </row>
    <row r="20" spans="1:15" x14ac:dyDescent="0.2">
      <c r="A20" s="62"/>
      <c r="B20" s="62"/>
      <c r="C20" s="51"/>
      <c r="D20" s="64"/>
      <c r="E20" s="51"/>
      <c r="F20" s="51"/>
      <c r="G20" s="51"/>
      <c r="H20" s="73"/>
      <c r="I20" s="45"/>
      <c r="J20" s="62"/>
      <c r="K20" s="62"/>
      <c r="L20" s="62"/>
      <c r="M20" s="62"/>
      <c r="N20" s="62"/>
      <c r="O20" s="73"/>
    </row>
    <row r="21" spans="1:15" x14ac:dyDescent="0.2">
      <c r="A21" s="62"/>
      <c r="B21" s="62"/>
      <c r="C21" s="51"/>
      <c r="D21" s="64"/>
      <c r="E21" s="51"/>
      <c r="F21" s="51"/>
      <c r="G21" s="51"/>
      <c r="H21" s="73"/>
      <c r="I21" s="45"/>
      <c r="J21" s="62"/>
      <c r="K21" s="62"/>
      <c r="L21" s="62"/>
      <c r="M21" s="62"/>
      <c r="N21" s="62"/>
      <c r="O21" s="73"/>
    </row>
    <row r="22" spans="1:15" x14ac:dyDescent="0.2">
      <c r="A22" s="62"/>
      <c r="B22" s="62"/>
      <c r="C22" s="51"/>
      <c r="D22" s="64"/>
      <c r="E22" s="51"/>
      <c r="F22" s="51"/>
      <c r="G22" s="51"/>
      <c r="H22" s="73"/>
      <c r="I22" s="45"/>
      <c r="J22" s="62"/>
      <c r="K22" s="62"/>
      <c r="L22" s="62"/>
      <c r="M22" s="62"/>
      <c r="N22" s="62"/>
      <c r="O22" s="73"/>
    </row>
    <row r="23" spans="1:15" x14ac:dyDescent="0.2">
      <c r="A23" s="62"/>
      <c r="B23" s="62"/>
      <c r="C23" s="51"/>
      <c r="D23" s="64"/>
      <c r="E23" s="51"/>
      <c r="F23" s="51"/>
      <c r="G23" s="51"/>
      <c r="H23" s="73"/>
      <c r="I23" s="45"/>
      <c r="J23" s="62"/>
      <c r="K23" s="62"/>
      <c r="L23" s="62"/>
      <c r="M23" s="62"/>
      <c r="N23" s="62"/>
      <c r="O23" s="73"/>
    </row>
    <row r="24" spans="1:15" x14ac:dyDescent="0.2">
      <c r="A24" s="62"/>
      <c r="B24" s="62"/>
      <c r="C24" s="51"/>
      <c r="D24" s="64"/>
      <c r="E24" s="51"/>
      <c r="F24" s="51"/>
      <c r="G24" s="51"/>
      <c r="H24" s="73"/>
      <c r="I24" s="45"/>
      <c r="J24" s="62"/>
      <c r="K24" s="62"/>
      <c r="L24" s="62"/>
      <c r="M24" s="62"/>
      <c r="N24" s="62"/>
      <c r="O24" s="73"/>
    </row>
    <row r="25" spans="1:15" x14ac:dyDescent="0.2">
      <c r="A25" s="62"/>
      <c r="B25" s="62"/>
      <c r="C25" s="51"/>
      <c r="D25" s="64"/>
      <c r="E25" s="51"/>
      <c r="F25" s="51"/>
      <c r="G25" s="51"/>
      <c r="H25" s="73"/>
      <c r="I25" s="45"/>
      <c r="J25" s="62"/>
      <c r="K25" s="62"/>
      <c r="L25" s="62"/>
      <c r="M25" s="62"/>
      <c r="N25" s="62"/>
      <c r="O25" s="73"/>
    </row>
    <row r="26" spans="1:15" x14ac:dyDescent="0.2">
      <c r="A26" s="62"/>
      <c r="B26" s="62"/>
      <c r="C26" s="51"/>
      <c r="D26" s="64"/>
      <c r="E26" s="51"/>
      <c r="F26" s="51"/>
      <c r="G26" s="51"/>
      <c r="H26" s="73"/>
      <c r="I26" s="45"/>
      <c r="J26" s="62"/>
      <c r="K26" s="62"/>
      <c r="L26" s="62"/>
      <c r="M26" s="62"/>
      <c r="N26" s="62"/>
      <c r="O26" s="73"/>
    </row>
    <row r="27" spans="1:15" x14ac:dyDescent="0.2">
      <c r="A27" s="62"/>
      <c r="B27" s="62"/>
      <c r="C27" s="51"/>
      <c r="D27" s="64"/>
      <c r="E27" s="51"/>
      <c r="F27" s="51"/>
      <c r="G27" s="51"/>
      <c r="H27" s="73"/>
      <c r="I27" s="45"/>
      <c r="J27" s="62"/>
      <c r="K27" s="62"/>
      <c r="L27" s="62"/>
      <c r="M27" s="62"/>
      <c r="N27" s="62"/>
      <c r="O27" s="73"/>
    </row>
    <row r="28" spans="1:15" x14ac:dyDescent="0.2">
      <c r="A28" s="62"/>
      <c r="B28" s="62"/>
      <c r="C28" s="51"/>
      <c r="D28" s="64"/>
      <c r="E28" s="51"/>
      <c r="F28" s="51"/>
      <c r="G28" s="51"/>
      <c r="H28" s="73"/>
      <c r="I28" s="45"/>
      <c r="J28" s="62"/>
      <c r="K28" s="62"/>
      <c r="L28" s="62"/>
      <c r="M28" s="62"/>
      <c r="N28" s="62"/>
      <c r="O28" s="73"/>
    </row>
    <row r="29" spans="1:15" x14ac:dyDescent="0.2">
      <c r="A29" s="62"/>
      <c r="B29" s="62"/>
      <c r="C29" s="51"/>
      <c r="D29" s="64"/>
      <c r="E29" s="51"/>
      <c r="F29" s="51"/>
      <c r="G29" s="51"/>
      <c r="H29" s="73"/>
      <c r="I29" s="45"/>
      <c r="J29" s="62"/>
      <c r="K29" s="62"/>
      <c r="L29" s="62"/>
      <c r="M29" s="62"/>
      <c r="N29" s="62"/>
      <c r="O29" s="73"/>
    </row>
    <row r="30" spans="1:15" x14ac:dyDescent="0.2">
      <c r="A30" s="62"/>
      <c r="B30" s="62"/>
      <c r="C30" s="51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</row>
  </sheetData>
  <mergeCells count="24">
    <mergeCell ref="O8:O9"/>
    <mergeCell ref="O6:O7"/>
    <mergeCell ref="L8:L9"/>
    <mergeCell ref="J8:J9"/>
    <mergeCell ref="K8:K9"/>
    <mergeCell ref="M8:M9"/>
    <mergeCell ref="N8:N9"/>
    <mergeCell ref="M6:M7"/>
    <mergeCell ref="N6:N7"/>
    <mergeCell ref="J6:J7"/>
    <mergeCell ref="K6:K7"/>
    <mergeCell ref="L6:L7"/>
    <mergeCell ref="J4:J5"/>
    <mergeCell ref="K4:K5"/>
    <mergeCell ref="L4:L5"/>
    <mergeCell ref="M4:M5"/>
    <mergeCell ref="O4:O5"/>
    <mergeCell ref="N4:N5"/>
    <mergeCell ref="J2:J3"/>
    <mergeCell ref="K2:K3"/>
    <mergeCell ref="L2:L3"/>
    <mergeCell ref="M2:M3"/>
    <mergeCell ref="O2:O3"/>
    <mergeCell ref="N2:N3"/>
  </mergeCells>
  <conditionalFormatting sqref="A2:B30">
    <cfRule type="expression" dxfId="63" priority="13" stopIfTrue="1">
      <formula>$AE2="İçeri Çekildi"</formula>
    </cfRule>
    <cfRule type="expression" dxfId="62" priority="14" stopIfTrue="1">
      <formula>$AE2="Antrepoda"</formula>
    </cfRule>
    <cfRule type="expression" dxfId="61" priority="15" stopIfTrue="1">
      <formula>$AE2="Yolda"</formula>
    </cfRule>
    <cfRule type="expression" dxfId="60" priority="16" stopIfTrue="1">
      <formula>$AE2="Yüklenmedi"</formula>
    </cfRule>
  </conditionalFormatting>
  <conditionalFormatting sqref="C2:O2 C3:I3 K4:L4 N4 C4:C30 N6 N8">
    <cfRule type="expression" dxfId="59" priority="144" stopIfTrue="1">
      <formula>$AE2="İçeri Çekildi"</formula>
    </cfRule>
    <cfRule type="expression" dxfId="58" priority="145" stopIfTrue="1">
      <formula>$AE2="Antrepoda"</formula>
    </cfRule>
    <cfRule type="expression" dxfId="57" priority="146" stopIfTrue="1">
      <formula>$AE2="Yolda"</formula>
    </cfRule>
    <cfRule type="expression" dxfId="56" priority="147" stopIfTrue="1">
      <formula>$AE2="Yüklenmedi"</formula>
    </cfRule>
  </conditionalFormatting>
  <conditionalFormatting sqref="D4:D9">
    <cfRule type="expression" dxfId="55" priority="25" stopIfTrue="1">
      <formula>$AE4="İçeri Çekildi"</formula>
    </cfRule>
    <cfRule type="expression" dxfId="54" priority="26" stopIfTrue="1">
      <formula>$AE4="Antrepoda"</formula>
    </cfRule>
    <cfRule type="expression" dxfId="53" priority="27" stopIfTrue="1">
      <formula>$AE4="Yolda"</formula>
    </cfRule>
    <cfRule type="expression" dxfId="52" priority="28" stopIfTrue="1">
      <formula>$AE4="Yüklenmedi"</formula>
    </cfRule>
  </conditionalFormatting>
  <conditionalFormatting sqref="D10:O30">
    <cfRule type="expression" dxfId="51" priority="1" stopIfTrue="1">
      <formula>$AE11="İçeri Çekildi"</formula>
    </cfRule>
    <cfRule type="expression" dxfId="50" priority="2" stopIfTrue="1">
      <formula>$AE11="Antrepoda"</formula>
    </cfRule>
    <cfRule type="expression" dxfId="49" priority="3" stopIfTrue="1">
      <formula>$AE11="Yolda"</formula>
    </cfRule>
    <cfRule type="expression" dxfId="48" priority="4" stopIfTrue="1">
      <formula>$AE11="Yüklenmedi"</formula>
    </cfRule>
  </conditionalFormatting>
  <conditionalFormatting sqref="J4 M4 O4 E4:I9 M6 O6 M8 O8">
    <cfRule type="expression" dxfId="47" priority="37" stopIfTrue="1">
      <formula>$AE5="İçeri Çekildi"</formula>
    </cfRule>
    <cfRule type="expression" dxfId="46" priority="38" stopIfTrue="1">
      <formula>$AE5="Antrepoda"</formula>
    </cfRule>
    <cfRule type="expression" dxfId="45" priority="39" stopIfTrue="1">
      <formula>$AE5="Yolda"</formula>
    </cfRule>
    <cfRule type="expression" dxfId="44" priority="40" stopIfTrue="1">
      <formula>$AE5="Yüklenmedi"</formula>
    </cfRule>
  </conditionalFormatting>
  <conditionalFormatting sqref="J6 J8">
    <cfRule type="expression" dxfId="43" priority="9" stopIfTrue="1">
      <formula>$AE7="İçeri Çekildi"</formula>
    </cfRule>
    <cfRule type="expression" dxfId="42" priority="10" stopIfTrue="1">
      <formula>$AE7="Antrepoda"</formula>
    </cfRule>
    <cfRule type="expression" dxfId="41" priority="11" stopIfTrue="1">
      <formula>$AE7="Yolda"</formula>
    </cfRule>
    <cfRule type="expression" dxfId="40" priority="12" stopIfTrue="1">
      <formula>$AE7="Yüklenmedi"</formula>
    </cfRule>
  </conditionalFormatting>
  <conditionalFormatting sqref="K6:L6 K8:L8">
    <cfRule type="expression" dxfId="39" priority="5" stopIfTrue="1">
      <formula>$AE6="İçeri Çekildi"</formula>
    </cfRule>
    <cfRule type="expression" dxfId="38" priority="6" stopIfTrue="1">
      <formula>$AE6="Antrepoda"</formula>
    </cfRule>
    <cfRule type="expression" dxfId="37" priority="7" stopIfTrue="1">
      <formula>$AE6="Yolda"</formula>
    </cfRule>
    <cfRule type="expression" dxfId="36" priority="8" stopIfTrue="1">
      <formula>$AE6="Yüklenmedi"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ÖZET!$AA$1:$AA$3</xm:f>
          </x14:formula1>
          <xm:sqref>L2:L9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V174"/>
  <sheetViews>
    <sheetView zoomScaleNormal="100" workbookViewId="0">
      <pane ySplit="1" topLeftCell="A2" activePane="bottomLeft" state="frozen"/>
      <selection pane="bottomLeft" sqref="A1:V1"/>
    </sheetView>
  </sheetViews>
  <sheetFormatPr defaultRowHeight="12.75" x14ac:dyDescent="0.2"/>
  <cols>
    <col min="2" max="2" width="11.7109375" bestFit="1" customWidth="1"/>
    <col min="3" max="3" width="13.5703125" bestFit="1" customWidth="1"/>
    <col min="4" max="4" width="10.42578125" customWidth="1"/>
    <col min="5" max="5" width="10.42578125" style="58" customWidth="1"/>
    <col min="6" max="6" width="10.42578125" customWidth="1"/>
    <col min="7" max="7" width="10.28515625" style="26" bestFit="1" customWidth="1"/>
    <col min="8" max="8" width="10.7109375" style="29" bestFit="1" customWidth="1"/>
    <col min="9" max="9" width="5.7109375" style="32" bestFit="1" customWidth="1"/>
    <col min="10" max="10" width="12.7109375" style="32" bestFit="1" customWidth="1"/>
    <col min="11" max="11" width="6.42578125" style="58" bestFit="1" customWidth="1"/>
    <col min="12" max="13" width="5.7109375" style="32" bestFit="1" customWidth="1"/>
    <col min="14" max="14" width="9.85546875" style="32" bestFit="1" customWidth="1"/>
    <col min="15" max="15" width="6.5703125" style="32" bestFit="1" customWidth="1"/>
    <col min="16" max="16" width="7.85546875" style="32" bestFit="1" customWidth="1"/>
    <col min="17" max="17" width="5.7109375" style="32" bestFit="1" customWidth="1"/>
    <col min="18" max="18" width="7.7109375" style="32" bestFit="1" customWidth="1"/>
    <col min="19" max="19" width="5.7109375" style="32" customWidth="1"/>
    <col min="20" max="20" width="6.5703125" style="32" customWidth="1"/>
    <col min="21" max="21" width="11" style="32" bestFit="1" customWidth="1"/>
    <col min="22" max="22" width="11.140625" style="32" bestFit="1" customWidth="1"/>
  </cols>
  <sheetData>
    <row r="1" spans="1:22" ht="25.5" customHeight="1" x14ac:dyDescent="0.2">
      <c r="A1" s="15" t="s">
        <v>413</v>
      </c>
      <c r="B1" s="15" t="s">
        <v>124</v>
      </c>
      <c r="C1" s="15" t="s">
        <v>95</v>
      </c>
      <c r="D1" s="11" t="s">
        <v>244</v>
      </c>
      <c r="E1" s="74" t="s">
        <v>158</v>
      </c>
      <c r="F1" s="11" t="s">
        <v>160</v>
      </c>
      <c r="G1" s="27" t="s">
        <v>131</v>
      </c>
      <c r="H1" s="28" t="s">
        <v>133</v>
      </c>
      <c r="I1" s="30" t="s">
        <v>125</v>
      </c>
      <c r="J1" s="15" t="s">
        <v>126</v>
      </c>
      <c r="K1" s="16" t="s">
        <v>127</v>
      </c>
      <c r="L1" s="30" t="s">
        <v>142</v>
      </c>
      <c r="M1" s="30" t="s">
        <v>141</v>
      </c>
      <c r="N1" s="30" t="s">
        <v>140</v>
      </c>
      <c r="O1" s="30" t="s">
        <v>139</v>
      </c>
      <c r="P1" s="30" t="s">
        <v>138</v>
      </c>
      <c r="Q1" s="30" t="s">
        <v>137</v>
      </c>
      <c r="R1" s="30" t="s">
        <v>128</v>
      </c>
      <c r="S1" s="30" t="s">
        <v>136</v>
      </c>
      <c r="T1" s="30" t="s">
        <v>135</v>
      </c>
      <c r="U1" s="30" t="s">
        <v>129</v>
      </c>
      <c r="V1" s="30" t="s">
        <v>130</v>
      </c>
    </row>
    <row r="2" spans="1:22" x14ac:dyDescent="0.2">
      <c r="A2" s="1" t="s">
        <v>414</v>
      </c>
      <c r="B2" s="34" t="s">
        <v>28</v>
      </c>
      <c r="C2" s="1" t="s">
        <v>174</v>
      </c>
      <c r="D2" s="33">
        <v>1</v>
      </c>
      <c r="E2" s="75">
        <v>461336</v>
      </c>
      <c r="F2" s="33" t="str">
        <f>IFERROR(HYPERLINK("#"&amp;ADDRESS(MATCH($C2,'SATIN ALMA'!$R:$R,0),COLUMN('SATIN ALMA'!$R:$R),1,1,"SATIN ALMA"),"Git →"),"Bulunamadı"
)</f>
        <v>Git →</v>
      </c>
      <c r="G2" s="22"/>
      <c r="H2" s="1"/>
      <c r="I2" s="61">
        <v>4.99E-2</v>
      </c>
      <c r="J2" s="31"/>
      <c r="K2" s="34">
        <v>327</v>
      </c>
      <c r="L2" s="31"/>
      <c r="M2" s="31"/>
      <c r="N2" s="61">
        <v>9.9400000000000002E-2</v>
      </c>
      <c r="O2" s="31" t="s">
        <v>168</v>
      </c>
      <c r="P2" s="61">
        <v>0.1158</v>
      </c>
      <c r="Q2" s="31"/>
      <c r="R2" s="31"/>
      <c r="S2" s="31"/>
      <c r="T2" s="31"/>
      <c r="U2" s="31"/>
      <c r="V2" s="31"/>
    </row>
    <row r="3" spans="1:22" x14ac:dyDescent="0.2">
      <c r="A3" s="1" t="s">
        <v>414</v>
      </c>
      <c r="B3" s="34" t="s">
        <v>30</v>
      </c>
      <c r="C3" s="1" t="s">
        <v>118</v>
      </c>
      <c r="D3" s="33">
        <v>2</v>
      </c>
      <c r="E3" s="75">
        <v>461334</v>
      </c>
      <c r="F3" s="33" t="str">
        <f>IFERROR(HYPERLINK("#"&amp;ADDRESS(MATCH($C3,'SATIN ALMA'!$R:$R,0),COLUMN('SATIN ALMA'!$R:$R),1,1,"SATIN ALMA"),"Git →"),"Bulunamadı"
)</f>
        <v>Git →</v>
      </c>
      <c r="G3" s="22"/>
      <c r="H3" s="1"/>
      <c r="I3" s="61">
        <v>4.9000000000000002E-2</v>
      </c>
      <c r="J3" s="31"/>
      <c r="K3" s="34">
        <v>321</v>
      </c>
      <c r="L3" s="31"/>
      <c r="M3" s="31"/>
      <c r="N3" s="61">
        <v>8.14E-2</v>
      </c>
      <c r="O3" s="31" t="s">
        <v>168</v>
      </c>
      <c r="P3" s="61">
        <v>0.13039999999999999</v>
      </c>
      <c r="Q3" s="31"/>
      <c r="R3" s="31"/>
      <c r="S3" s="31"/>
      <c r="T3" s="31"/>
      <c r="U3" s="31"/>
      <c r="V3" s="31"/>
    </row>
    <row r="4" spans="1:22" x14ac:dyDescent="0.2">
      <c r="A4" s="1" t="s">
        <v>414</v>
      </c>
      <c r="B4" s="34" t="s">
        <v>37</v>
      </c>
      <c r="C4" s="1" t="s">
        <v>176</v>
      </c>
      <c r="D4" s="33">
        <v>4</v>
      </c>
      <c r="E4" s="75">
        <v>466728</v>
      </c>
      <c r="F4" s="33" t="str">
        <f>IFERROR(HYPERLINK("#"&amp;ADDRESS(MATCH($C4,'SATIN ALMA'!$R:$R,0),COLUMN('SATIN ALMA'!$R:$R),1,1,"SATIN ALMA"),"Git →"),"Bulunamadı"
)</f>
        <v>Git →</v>
      </c>
      <c r="G4" s="22"/>
      <c r="H4" s="1"/>
      <c r="I4" s="61">
        <v>4.9700000000000001E-2</v>
      </c>
      <c r="J4" s="31"/>
      <c r="K4" s="34">
        <v>312</v>
      </c>
      <c r="L4" s="31"/>
      <c r="M4" s="31"/>
      <c r="N4" s="61">
        <v>8.8200000000000001E-2</v>
      </c>
      <c r="O4" s="31" t="s">
        <v>168</v>
      </c>
      <c r="P4" s="61">
        <v>9.1999999999999998E-2</v>
      </c>
      <c r="Q4" s="31"/>
      <c r="R4" s="31"/>
      <c r="S4" s="31"/>
      <c r="T4" s="31"/>
      <c r="U4" s="31"/>
      <c r="V4" s="31"/>
    </row>
    <row r="5" spans="1:22" x14ac:dyDescent="0.2">
      <c r="A5" s="1" t="s">
        <v>414</v>
      </c>
      <c r="B5" s="34" t="s">
        <v>36</v>
      </c>
      <c r="C5" s="1" t="s">
        <v>177</v>
      </c>
      <c r="D5" s="33">
        <v>5</v>
      </c>
      <c r="E5" s="75">
        <v>467265</v>
      </c>
      <c r="F5" s="33" t="str">
        <f>IFERROR(HYPERLINK("#"&amp;ADDRESS(MATCH($C5,'SATIN ALMA'!$R:$R,0),COLUMN('SATIN ALMA'!$R:$R),1,1,"SATIN ALMA"),"Git →"),"Bulunamadı"
)</f>
        <v>Git →</v>
      </c>
      <c r="G5" s="22"/>
      <c r="H5" s="1"/>
      <c r="I5" s="61">
        <v>5.0999999999999997E-2</v>
      </c>
      <c r="J5" s="31"/>
      <c r="K5" s="34">
        <v>330</v>
      </c>
      <c r="L5" s="31"/>
      <c r="M5" s="31"/>
      <c r="N5" s="61">
        <v>0.1037</v>
      </c>
      <c r="O5" s="31" t="s">
        <v>168</v>
      </c>
      <c r="P5" s="61">
        <v>0.1085</v>
      </c>
      <c r="Q5" s="31"/>
      <c r="R5" s="31"/>
      <c r="S5" s="31"/>
      <c r="T5" s="31"/>
      <c r="U5" s="31"/>
      <c r="V5" s="31"/>
    </row>
    <row r="6" spans="1:22" x14ac:dyDescent="0.2">
      <c r="A6" s="1" t="s">
        <v>414</v>
      </c>
      <c r="B6" s="34" t="s">
        <v>192</v>
      </c>
      <c r="C6" s="1" t="s">
        <v>178</v>
      </c>
      <c r="D6" s="33">
        <v>6</v>
      </c>
      <c r="E6" s="75"/>
      <c r="F6" s="33" t="str">
        <f>IFERROR(HYPERLINK("#"&amp;ADDRESS(MATCH($C6,'SATIN ALMA'!$R:$R,0),COLUMN('SATIN ALMA'!$R:$R),1,1,"SATIN ALMA"),"Git →"),"Bulunamadı"
)</f>
        <v>Git →</v>
      </c>
      <c r="G6" s="22"/>
      <c r="H6" s="1"/>
      <c r="I6" s="61">
        <v>4.99E-2</v>
      </c>
      <c r="J6" s="31"/>
      <c r="K6" s="34">
        <v>320</v>
      </c>
      <c r="L6" s="31"/>
      <c r="M6" s="31"/>
      <c r="N6" s="61">
        <v>8.2100000000000006E-2</v>
      </c>
      <c r="O6" s="31" t="s">
        <v>168</v>
      </c>
      <c r="P6" s="61">
        <v>9.4700000000000006E-2</v>
      </c>
      <c r="Q6" s="31"/>
      <c r="R6" s="31"/>
      <c r="S6" s="31"/>
      <c r="T6" s="31"/>
      <c r="U6" s="31"/>
      <c r="V6" s="31"/>
    </row>
    <row r="7" spans="1:22" x14ac:dyDescent="0.2">
      <c r="A7" s="1" t="s">
        <v>414</v>
      </c>
      <c r="B7" s="34" t="s">
        <v>200</v>
      </c>
      <c r="C7" s="1" t="s">
        <v>180</v>
      </c>
      <c r="D7" s="33">
        <v>7</v>
      </c>
      <c r="E7" s="75"/>
      <c r="F7" s="33" t="str">
        <f>IFERROR(HYPERLINK("#"&amp;ADDRESS(MATCH($C7,'SATIN ALMA'!$R:$R,0),COLUMN('SATIN ALMA'!$R:$R),1,1,"SATIN ALMA"),"Git →"),"Bulunamadı"
)</f>
        <v>Git →</v>
      </c>
      <c r="G7" s="22"/>
      <c r="H7" s="1"/>
      <c r="I7" s="61">
        <v>4.87E-2</v>
      </c>
      <c r="J7" s="31"/>
      <c r="K7" s="34">
        <v>324</v>
      </c>
      <c r="L7" s="31"/>
      <c r="M7" s="31"/>
      <c r="N7" s="61">
        <v>8.1000000000000003E-2</v>
      </c>
      <c r="O7" s="31" t="s">
        <v>168</v>
      </c>
      <c r="P7" s="61">
        <v>9.9400000000000002E-2</v>
      </c>
      <c r="Q7" s="31"/>
      <c r="R7" s="31"/>
      <c r="S7" s="31"/>
      <c r="T7" s="31"/>
      <c r="U7" s="31"/>
      <c r="V7" s="31"/>
    </row>
    <row r="8" spans="1:22" x14ac:dyDescent="0.2">
      <c r="A8" s="1" t="s">
        <v>414</v>
      </c>
      <c r="B8" s="34" t="s">
        <v>195</v>
      </c>
      <c r="C8" s="1" t="s">
        <v>194</v>
      </c>
      <c r="D8" s="33">
        <v>9</v>
      </c>
      <c r="E8" s="75">
        <v>469616</v>
      </c>
      <c r="F8" s="33" t="str">
        <f>IFERROR(HYPERLINK("#"&amp;ADDRESS(MATCH($C8,'SATIN ALMA'!$R:$R,0),COLUMN('SATIN ALMA'!$R:$R),1,1,"SATIN ALMA"),"Git →"),"Bulunamadı"
)</f>
        <v>Bulunamadı</v>
      </c>
      <c r="G8" s="22">
        <v>45667</v>
      </c>
      <c r="H8" s="1" t="s">
        <v>134</v>
      </c>
      <c r="I8" s="61">
        <v>4.8099999999999997E-2</v>
      </c>
      <c r="J8" s="31"/>
      <c r="K8" s="34">
        <v>328</v>
      </c>
      <c r="L8" s="31">
        <v>5.2999999999999999E-2</v>
      </c>
      <c r="M8" s="31">
        <v>3.0499999999999999E-2</v>
      </c>
      <c r="N8" s="61">
        <f>L8+M8</f>
        <v>8.3499999999999991E-2</v>
      </c>
      <c r="O8" s="31">
        <v>8.0000000000000002E-3</v>
      </c>
      <c r="P8" s="61">
        <v>7.0000000000000007E-2</v>
      </c>
      <c r="Q8" s="31">
        <v>9.4999999999999998E-3</v>
      </c>
      <c r="R8" s="31">
        <v>9.7000000000000003E-3</v>
      </c>
      <c r="S8" s="31"/>
      <c r="T8" s="31"/>
      <c r="U8" s="31">
        <v>4.5999999999999999E-3</v>
      </c>
      <c r="V8" s="31">
        <v>6.1100000000000002E-2</v>
      </c>
    </row>
    <row r="9" spans="1:22" x14ac:dyDescent="0.2">
      <c r="A9" s="1" t="s">
        <v>414</v>
      </c>
      <c r="B9" s="34" t="s">
        <v>193</v>
      </c>
      <c r="C9" s="1" t="s">
        <v>181</v>
      </c>
      <c r="D9" s="33">
        <v>10</v>
      </c>
      <c r="E9" s="75"/>
      <c r="F9" s="33" t="str">
        <f>IFERROR(HYPERLINK("#"&amp;ADDRESS(MATCH($C9,'SATIN ALMA'!$R:$R,0),COLUMN('SATIN ALMA'!$R:$R),1,1,"SATIN ALMA"),"Git →"),"Bulunamadı"
)</f>
        <v>Git →</v>
      </c>
      <c r="G9" s="22"/>
      <c r="H9" s="1"/>
      <c r="I9" s="61">
        <v>4.8899999999999999E-2</v>
      </c>
      <c r="J9" s="31"/>
      <c r="K9" s="34">
        <v>320</v>
      </c>
      <c r="L9" s="31"/>
      <c r="M9" s="31"/>
      <c r="N9" s="61">
        <v>0.1012</v>
      </c>
      <c r="O9" s="31" t="s">
        <v>168</v>
      </c>
      <c r="P9" s="61">
        <v>9.0300000000000005E-2</v>
      </c>
      <c r="Q9" s="31"/>
      <c r="R9" s="31"/>
      <c r="S9" s="31"/>
      <c r="T9" s="31"/>
      <c r="U9" s="31"/>
      <c r="V9" s="31"/>
    </row>
    <row r="10" spans="1:22" x14ac:dyDescent="0.2">
      <c r="A10" s="1" t="s">
        <v>414</v>
      </c>
      <c r="B10" s="34" t="s">
        <v>190</v>
      </c>
      <c r="C10" s="1" t="s">
        <v>191</v>
      </c>
      <c r="D10" s="33">
        <v>11</v>
      </c>
      <c r="E10" s="75">
        <v>472436</v>
      </c>
      <c r="F10" s="33" t="str">
        <f>IFERROR(HYPERLINK("#"&amp;ADDRESS(MATCH($C10,'SATIN ALMA'!$R:$R,0),COLUMN('SATIN ALMA'!$R:$R),1,1,"SATIN ALMA"),"Git →"),"Bulunamadı"
)</f>
        <v>Git →</v>
      </c>
      <c r="G10" s="22"/>
      <c r="H10" s="1"/>
      <c r="I10" s="61">
        <v>5.2400000000000002E-2</v>
      </c>
      <c r="J10" s="31"/>
      <c r="K10" s="34">
        <v>320</v>
      </c>
      <c r="L10" s="31"/>
      <c r="M10" s="31"/>
      <c r="N10" s="61">
        <v>0.10920000000000001</v>
      </c>
      <c r="O10" s="31" t="s">
        <v>168</v>
      </c>
      <c r="P10" s="61">
        <v>0.129</v>
      </c>
      <c r="Q10" s="31"/>
      <c r="R10" s="31"/>
      <c r="S10" s="31"/>
      <c r="T10" s="31"/>
      <c r="U10" s="31"/>
      <c r="V10" s="31"/>
    </row>
    <row r="11" spans="1:22" x14ac:dyDescent="0.2">
      <c r="A11" s="1" t="s">
        <v>414</v>
      </c>
      <c r="B11" s="34" t="s">
        <v>201</v>
      </c>
      <c r="C11" s="1" t="s">
        <v>182</v>
      </c>
      <c r="D11" s="33">
        <v>12</v>
      </c>
      <c r="E11" s="75"/>
      <c r="F11" s="33" t="str">
        <f>IFERROR(HYPERLINK("#"&amp;ADDRESS(MATCH($C11,'SATIN ALMA'!$R:$R,0),COLUMN('SATIN ALMA'!$R:$R),1,1,"SATIN ALMA"),"Git →"),"Bulunamadı"
)</f>
        <v>Git →</v>
      </c>
      <c r="G11" s="22"/>
      <c r="H11" s="1"/>
      <c r="I11" s="61">
        <v>5.28E-2</v>
      </c>
      <c r="J11" s="31"/>
      <c r="K11" s="34">
        <v>322</v>
      </c>
      <c r="L11" s="31"/>
      <c r="M11" s="31"/>
      <c r="N11" s="61">
        <v>0.1241</v>
      </c>
      <c r="O11" s="31" t="s">
        <v>168</v>
      </c>
      <c r="P11" s="61">
        <v>9.74E-2</v>
      </c>
      <c r="Q11" s="31"/>
      <c r="R11" s="31"/>
      <c r="S11" s="31"/>
      <c r="T11" s="31"/>
      <c r="U11" s="31"/>
      <c r="V11" s="31"/>
    </row>
    <row r="12" spans="1:22" x14ac:dyDescent="0.2">
      <c r="A12" s="1" t="s">
        <v>415</v>
      </c>
      <c r="B12" s="34" t="s">
        <v>60</v>
      </c>
      <c r="C12" s="1" t="s">
        <v>186</v>
      </c>
      <c r="D12" s="33">
        <v>16</v>
      </c>
      <c r="E12" s="75">
        <v>482137</v>
      </c>
      <c r="F12" s="33" t="str">
        <f>IFERROR(HYPERLINK("#"&amp;ADDRESS(MATCH($C12,'SATIN ALMA'!$R:$R,0),COLUMN('SATIN ALMA'!$R:$R),1,1,"SATIN ALMA"),"Git →"),"Bulunamadı"
)</f>
        <v>Git →</v>
      </c>
      <c r="G12" s="22"/>
      <c r="H12" s="1"/>
      <c r="I12" s="31">
        <v>5.21E-2</v>
      </c>
      <c r="J12" s="31"/>
      <c r="K12" s="57">
        <v>241</v>
      </c>
      <c r="L12" s="31"/>
      <c r="M12" s="31"/>
      <c r="N12" s="31">
        <v>9.2600000000000002E-2</v>
      </c>
      <c r="O12" s="31" t="s">
        <v>168</v>
      </c>
      <c r="P12" s="31">
        <v>7.1900000000000006E-2</v>
      </c>
      <c r="Q12" s="31"/>
      <c r="R12" s="31"/>
      <c r="S12" s="31"/>
      <c r="T12" s="31"/>
      <c r="U12" s="31"/>
      <c r="V12" s="31"/>
    </row>
    <row r="13" spans="1:22" x14ac:dyDescent="0.2">
      <c r="A13" s="1" t="s">
        <v>414</v>
      </c>
      <c r="B13" s="34" t="s">
        <v>172</v>
      </c>
      <c r="C13" s="1" t="s">
        <v>173</v>
      </c>
      <c r="D13" s="33">
        <v>17</v>
      </c>
      <c r="E13" s="75">
        <v>486075</v>
      </c>
      <c r="F13" s="33" t="str">
        <f>IFERROR(HYPERLINK("#"&amp;ADDRESS(MATCH($C13,'SATIN ALMA'!$R:$R,0),COLUMN('SATIN ALMA'!$R:$R),1,1,"SATIN ALMA"),"Git →"),"Bulunamadı"
)</f>
        <v>Git →</v>
      </c>
      <c r="G13" s="22"/>
      <c r="H13" s="1"/>
      <c r="I13" s="31">
        <v>5.0200000000000002E-2</v>
      </c>
      <c r="J13" s="31"/>
      <c r="K13" s="57">
        <v>326</v>
      </c>
      <c r="L13" s="31"/>
      <c r="M13" s="31"/>
      <c r="N13" s="31">
        <v>7.7399999999999997E-2</v>
      </c>
      <c r="O13" s="31" t="s">
        <v>168</v>
      </c>
      <c r="P13" s="31">
        <v>7.8899999999999998E-2</v>
      </c>
      <c r="Q13" s="31"/>
      <c r="R13" s="31"/>
      <c r="S13" s="31"/>
      <c r="T13" s="31"/>
      <c r="U13" s="31"/>
      <c r="V13" s="31"/>
    </row>
    <row r="14" spans="1:22" x14ac:dyDescent="0.2">
      <c r="A14" s="1" t="s">
        <v>414</v>
      </c>
      <c r="B14" s="34" t="s">
        <v>189</v>
      </c>
      <c r="C14" s="1" t="s">
        <v>173</v>
      </c>
      <c r="D14" s="33">
        <v>17</v>
      </c>
      <c r="E14" s="75"/>
      <c r="F14" s="33" t="str">
        <f>IFERROR(HYPERLINK("#"&amp;ADDRESS(MATCH($C14,'SATIN ALMA'!$R:$R,0),COLUMN('SATIN ALMA'!$R:$R),1,1,"SATIN ALMA"),"Git →"),"Bulunamadı"
)</f>
        <v>Git →</v>
      </c>
      <c r="G14" s="22"/>
      <c r="H14" s="1"/>
      <c r="I14" s="61">
        <v>5.0200000000000002E-2</v>
      </c>
      <c r="J14" s="31"/>
      <c r="K14" s="34">
        <v>326</v>
      </c>
      <c r="L14" s="31"/>
      <c r="M14" s="31"/>
      <c r="N14" s="61">
        <v>7.7399999999999997E-2</v>
      </c>
      <c r="O14" s="31" t="s">
        <v>168</v>
      </c>
      <c r="P14" s="61">
        <v>7.9000000000000001E-2</v>
      </c>
      <c r="Q14" s="31"/>
      <c r="R14" s="31"/>
      <c r="S14" s="31"/>
      <c r="T14" s="31"/>
      <c r="U14" s="31"/>
      <c r="V14" s="31"/>
    </row>
    <row r="15" spans="1:22" x14ac:dyDescent="0.2">
      <c r="A15" s="1" t="s">
        <v>414</v>
      </c>
      <c r="B15" s="34" t="s">
        <v>67</v>
      </c>
      <c r="C15" s="1" t="s">
        <v>171</v>
      </c>
      <c r="D15" s="33">
        <v>18</v>
      </c>
      <c r="E15" s="75">
        <v>491027</v>
      </c>
      <c r="F15" s="33" t="str">
        <f>IFERROR(HYPERLINK("#"&amp;ADDRESS(MATCH($C15,'SATIN ALMA'!$R:$R,0),COLUMN('SATIN ALMA'!$R:$R),1,1,"SATIN ALMA"),"Git →"),"Bulunamadı"
)</f>
        <v>Git →</v>
      </c>
      <c r="G15" s="22"/>
      <c r="H15" s="1"/>
      <c r="I15" s="31">
        <v>4.5600000000000002E-2</v>
      </c>
      <c r="J15" s="31"/>
      <c r="K15" s="57">
        <v>317</v>
      </c>
      <c r="L15" s="31"/>
      <c r="M15" s="31"/>
      <c r="N15" s="31">
        <v>0.112</v>
      </c>
      <c r="O15" s="31" t="s">
        <v>168</v>
      </c>
      <c r="P15" s="31">
        <v>9.1999999999999998E-2</v>
      </c>
      <c r="Q15" s="31"/>
      <c r="R15" s="31"/>
      <c r="S15" s="31"/>
      <c r="T15" s="31"/>
      <c r="U15" s="31"/>
      <c r="V15" s="31"/>
    </row>
    <row r="16" spans="1:22" x14ac:dyDescent="0.2">
      <c r="A16" s="1" t="s">
        <v>414</v>
      </c>
      <c r="B16" s="34" t="s">
        <v>332</v>
      </c>
      <c r="C16" s="1" t="s">
        <v>170</v>
      </c>
      <c r="D16" s="33">
        <v>19</v>
      </c>
      <c r="E16" s="75"/>
      <c r="F16" s="33" t="str">
        <f>IFERROR(HYPERLINK("#"&amp;ADDRESS(MATCH($C16,'SATIN ALMA'!$R:$R,0),COLUMN('SATIN ALMA'!$R:$R),1,1,"SATIN ALMA"),"Git →"),"Bulunamadı"
)</f>
        <v>Git →</v>
      </c>
      <c r="G16" s="22"/>
      <c r="H16" s="1"/>
      <c r="I16" s="61">
        <v>5.21E-2</v>
      </c>
      <c r="J16" s="31"/>
      <c r="K16" s="34">
        <v>310</v>
      </c>
      <c r="L16" s="31"/>
      <c r="M16" s="31"/>
      <c r="N16" s="61">
        <v>9.5000000000000001E-2</v>
      </c>
      <c r="O16" s="31" t="s">
        <v>168</v>
      </c>
      <c r="P16" s="61">
        <v>6.3299999999999995E-2</v>
      </c>
      <c r="Q16" s="31"/>
      <c r="R16" s="31"/>
      <c r="S16" s="31"/>
      <c r="T16" s="31"/>
      <c r="U16" s="31"/>
      <c r="V16" s="31"/>
    </row>
    <row r="17" spans="1:22" x14ac:dyDescent="0.2">
      <c r="A17" s="1" t="s">
        <v>415</v>
      </c>
      <c r="B17" s="34" t="s">
        <v>72</v>
      </c>
      <c r="C17" s="1" t="s">
        <v>159</v>
      </c>
      <c r="D17" s="33">
        <v>20</v>
      </c>
      <c r="E17" s="75">
        <v>496816</v>
      </c>
      <c r="F17" s="33" t="str">
        <f>IFERROR(HYPERLINK("#"&amp;ADDRESS(MATCH($C17,'SATIN ALMA'!$R:$R,0),COLUMN('SATIN ALMA'!$R:$R),1,1,"SATIN ALMA"),"Git →"),"Bulunamadı"
)</f>
        <v>Git →</v>
      </c>
      <c r="G17" s="22">
        <v>45850</v>
      </c>
      <c r="H17" s="1" t="s">
        <v>134</v>
      </c>
      <c r="I17" s="31">
        <v>5.1799999999999999E-2</v>
      </c>
      <c r="J17" s="31"/>
      <c r="K17" s="57">
        <v>241</v>
      </c>
      <c r="L17" s="31">
        <v>8.2199999999999995E-2</v>
      </c>
      <c r="M17" s="31">
        <v>2.52E-2</v>
      </c>
      <c r="N17" s="31">
        <f>L17+M17</f>
        <v>0.1074</v>
      </c>
      <c r="O17" s="31">
        <v>1.6299999999999999E-2</v>
      </c>
      <c r="P17" s="31">
        <v>6.3700000000000007E-2</v>
      </c>
      <c r="Q17" s="31">
        <v>1.38E-2</v>
      </c>
      <c r="R17" s="31">
        <v>8.5000000000000006E-3</v>
      </c>
      <c r="S17" s="31"/>
      <c r="T17" s="31"/>
      <c r="U17" s="31">
        <v>7.3000000000000001E-3</v>
      </c>
      <c r="V17" s="31">
        <v>0.1026</v>
      </c>
    </row>
    <row r="18" spans="1:22" x14ac:dyDescent="0.2">
      <c r="A18" s="1" t="s">
        <v>414</v>
      </c>
      <c r="B18" s="34" t="s">
        <v>164</v>
      </c>
      <c r="C18" s="1" t="s">
        <v>120</v>
      </c>
      <c r="D18" s="33">
        <v>21</v>
      </c>
      <c r="E18" s="75">
        <v>498286</v>
      </c>
      <c r="F18" s="33" t="str">
        <f>IFERROR(HYPERLINK("#"&amp;ADDRESS(MATCH($C18,'SATIN ALMA'!$R:$R,0),COLUMN('SATIN ALMA'!$R:$R),1,1,"SATIN ALMA"),"Git →"),"Bulunamadı"
)</f>
        <v>Git →</v>
      </c>
      <c r="G18" s="22"/>
      <c r="H18" s="1"/>
      <c r="I18" s="31">
        <v>5.3600000000000002E-2</v>
      </c>
      <c r="J18" s="31"/>
      <c r="K18" s="57">
        <v>313</v>
      </c>
      <c r="L18" s="31">
        <v>6.6199999999999995E-2</v>
      </c>
      <c r="M18" s="31">
        <v>2.3199999999999998E-2</v>
      </c>
      <c r="N18" s="31">
        <f>L18+M18</f>
        <v>8.9399999999999993E-2</v>
      </c>
      <c r="O18" s="31">
        <v>1.2E-2</v>
      </c>
      <c r="P18" s="31">
        <v>7.17E-2</v>
      </c>
      <c r="Q18" s="31">
        <v>7.1999999999999998E-3</v>
      </c>
      <c r="R18" s="31"/>
      <c r="S18" s="31"/>
      <c r="T18" s="31"/>
      <c r="U18" s="31">
        <v>1.66E-2</v>
      </c>
      <c r="V18" s="31">
        <v>5.6800000000000003E-2</v>
      </c>
    </row>
    <row r="19" spans="1:22" x14ac:dyDescent="0.2">
      <c r="A19" s="1" t="s">
        <v>414</v>
      </c>
      <c r="B19" s="34" t="s">
        <v>165</v>
      </c>
      <c r="C19" s="1" t="s">
        <v>119</v>
      </c>
      <c r="D19" s="33">
        <v>22</v>
      </c>
      <c r="E19" s="75">
        <v>498287</v>
      </c>
      <c r="F19" s="33" t="str">
        <f>IFERROR(HYPERLINK("#"&amp;ADDRESS(MATCH($C19,'SATIN ALMA'!$R:$R,0),COLUMN('SATIN ALMA'!$R:$R),1,1,"SATIN ALMA"),"Git →"),"Bulunamadı"
)</f>
        <v>Git →</v>
      </c>
      <c r="G19" s="22"/>
      <c r="H19" s="1"/>
      <c r="I19" s="31">
        <v>5.2299999999999999E-2</v>
      </c>
      <c r="J19" s="31"/>
      <c r="K19" s="57">
        <v>307</v>
      </c>
      <c r="L19" s="31">
        <v>6.6500000000000004E-2</v>
      </c>
      <c r="M19" s="31">
        <v>2.24E-2</v>
      </c>
      <c r="N19" s="31">
        <f>L19+M19</f>
        <v>8.8900000000000007E-2</v>
      </c>
      <c r="O19" s="31">
        <v>1.66E-2</v>
      </c>
      <c r="P19" s="31">
        <v>7.1400000000000005E-2</v>
      </c>
      <c r="Q19" s="31">
        <v>4.3E-3</v>
      </c>
      <c r="R19" s="31"/>
      <c r="S19" s="31"/>
      <c r="T19" s="31"/>
      <c r="U19" s="31">
        <v>1.52E-2</v>
      </c>
      <c r="V19" s="31">
        <v>8.8999999999999996E-2</v>
      </c>
    </row>
    <row r="20" spans="1:22" x14ac:dyDescent="0.2">
      <c r="A20" s="1" t="s">
        <v>414</v>
      </c>
      <c r="B20" s="34" t="s">
        <v>163</v>
      </c>
      <c r="C20" s="1" t="s">
        <v>169</v>
      </c>
      <c r="D20" s="33">
        <v>23</v>
      </c>
      <c r="E20" s="75">
        <v>498679</v>
      </c>
      <c r="F20" s="33" t="str">
        <f>IFERROR(HYPERLINK("#"&amp;ADDRESS(MATCH($C20,'SATIN ALMA'!$R:$R,0),COLUMN('SATIN ALMA'!$R:$R),1,1,"SATIN ALMA"),"Git →"),"Bulunamadı"
)</f>
        <v>Git →</v>
      </c>
      <c r="G20" s="22"/>
      <c r="H20" s="1"/>
      <c r="I20" s="61">
        <v>4.8599999999999997E-2</v>
      </c>
      <c r="J20" s="31"/>
      <c r="K20" s="34">
        <v>292</v>
      </c>
      <c r="L20" s="31"/>
      <c r="M20" s="31"/>
      <c r="N20" s="61">
        <v>8.2400000000000001E-2</v>
      </c>
      <c r="O20" s="31" t="s">
        <v>168</v>
      </c>
      <c r="P20" s="61">
        <v>8.6199999999999999E-2</v>
      </c>
      <c r="Q20" s="31"/>
      <c r="R20" s="31"/>
      <c r="S20" s="31"/>
      <c r="T20" s="31"/>
      <c r="U20" s="31"/>
      <c r="V20" s="31"/>
    </row>
    <row r="21" spans="1:22" x14ac:dyDescent="0.2">
      <c r="A21" s="1" t="s">
        <v>414</v>
      </c>
      <c r="B21" s="34" t="s">
        <v>166</v>
      </c>
      <c r="C21" s="1" t="s">
        <v>115</v>
      </c>
      <c r="D21" s="33">
        <v>24</v>
      </c>
      <c r="E21" s="75">
        <v>499803</v>
      </c>
      <c r="F21" s="33" t="str">
        <f>IFERROR(HYPERLINK("#"&amp;ADDRESS(MATCH($C21,'SATIN ALMA'!$R:$R,0),COLUMN('SATIN ALMA'!$R:$R),1,1,"SATIN ALMA"),"Git →"),"Bulunamadı"
)</f>
        <v>Git →</v>
      </c>
      <c r="G21" s="22">
        <v>45876</v>
      </c>
      <c r="H21" s="1" t="s">
        <v>134</v>
      </c>
      <c r="I21" s="31">
        <v>5.5E-2</v>
      </c>
      <c r="J21" s="31"/>
      <c r="K21" s="57">
        <v>309.3</v>
      </c>
      <c r="L21" s="31">
        <v>5.7000000000000002E-2</v>
      </c>
      <c r="M21" s="31">
        <v>2.18E-2</v>
      </c>
      <c r="N21" s="31">
        <f>L21+M21</f>
        <v>7.8800000000000009E-2</v>
      </c>
      <c r="O21" s="31">
        <v>7.7999999999999996E-3</v>
      </c>
      <c r="P21" s="31">
        <v>6.4500000000000002E-2</v>
      </c>
      <c r="Q21" s="31">
        <v>1.06E-2</v>
      </c>
      <c r="R21" s="31">
        <v>1.24E-2</v>
      </c>
      <c r="S21" s="31"/>
      <c r="T21" s="31"/>
      <c r="U21" s="31">
        <v>1.66E-2</v>
      </c>
      <c r="V21" s="31">
        <v>0.1401</v>
      </c>
    </row>
    <row r="22" spans="1:22" x14ac:dyDescent="0.2">
      <c r="A22" s="1" t="s">
        <v>414</v>
      </c>
      <c r="B22" s="34" t="s">
        <v>167</v>
      </c>
      <c r="C22" s="1" t="s">
        <v>116</v>
      </c>
      <c r="D22" s="33">
        <v>25</v>
      </c>
      <c r="E22" s="75">
        <v>499804</v>
      </c>
      <c r="F22" s="33" t="str">
        <f>IFERROR(HYPERLINK("#"&amp;ADDRESS(MATCH($C22,'SATIN ALMA'!$R:$R,0),COLUMN('SATIN ALMA'!$R:$R),1,1,"SATIN ALMA"),"Git →"),"Bulunamadı"
)</f>
        <v>Git →</v>
      </c>
      <c r="G22" s="22">
        <v>45876</v>
      </c>
      <c r="H22" s="1" t="s">
        <v>134</v>
      </c>
      <c r="I22" s="31">
        <v>4.9200000000000001E-2</v>
      </c>
      <c r="J22" s="31"/>
      <c r="K22" s="57">
        <v>307</v>
      </c>
      <c r="L22" s="31">
        <v>6.2100000000000002E-2</v>
      </c>
      <c r="M22" s="31">
        <v>2.7199999999999998E-2</v>
      </c>
      <c r="N22" s="31">
        <f>L22+M22</f>
        <v>8.9300000000000004E-2</v>
      </c>
      <c r="O22" s="31">
        <v>1.4E-2</v>
      </c>
      <c r="P22" s="31">
        <v>6.0199999999999997E-2</v>
      </c>
      <c r="Q22" s="31">
        <v>9.1999999999999998E-3</v>
      </c>
      <c r="R22" s="31">
        <v>1.1599999999999999E-2</v>
      </c>
      <c r="S22" s="31"/>
      <c r="T22" s="31"/>
      <c r="U22" s="31">
        <v>2.35E-2</v>
      </c>
      <c r="V22" s="31">
        <v>0.11260000000000001</v>
      </c>
    </row>
    <row r="23" spans="1:22" x14ac:dyDescent="0.2">
      <c r="A23" s="1" t="s">
        <v>414</v>
      </c>
      <c r="B23" s="34" t="s">
        <v>187</v>
      </c>
      <c r="C23" s="1" t="s">
        <v>161</v>
      </c>
      <c r="D23" s="33">
        <v>26</v>
      </c>
      <c r="E23" s="75">
        <v>500040</v>
      </c>
      <c r="F23" s="33" t="str">
        <f>IFERROR(HYPERLINK("#"&amp;ADDRESS(MATCH($C23,'SATIN ALMA'!$R:$R,0),COLUMN('SATIN ALMA'!$R:$R),1,1,"SATIN ALMA"),"Git →"),"Bulunamadı"
)</f>
        <v>Git →</v>
      </c>
      <c r="G23" s="22"/>
      <c r="H23" s="1"/>
      <c r="I23" s="31">
        <v>5.7200000000000001E-2</v>
      </c>
      <c r="J23" s="31"/>
      <c r="K23" s="57">
        <v>309</v>
      </c>
      <c r="L23" s="31"/>
      <c r="M23" s="31"/>
      <c r="N23" s="31">
        <v>8.3299999999999999E-2</v>
      </c>
      <c r="O23" s="31" t="s">
        <v>168</v>
      </c>
      <c r="P23" s="31">
        <v>0.10879999999999999</v>
      </c>
      <c r="Q23" s="31"/>
      <c r="R23" s="31"/>
      <c r="S23" s="31"/>
      <c r="T23" s="31"/>
      <c r="U23" s="31"/>
      <c r="V23" s="31"/>
    </row>
    <row r="24" spans="1:22" x14ac:dyDescent="0.2">
      <c r="A24" s="1" t="s">
        <v>414</v>
      </c>
      <c r="B24" s="34" t="s">
        <v>107</v>
      </c>
      <c r="C24" s="1" t="s">
        <v>103</v>
      </c>
      <c r="D24" s="33">
        <v>27</v>
      </c>
      <c r="E24" s="75">
        <v>501632</v>
      </c>
      <c r="F24" s="33" t="str">
        <f>IFERROR(HYPERLINK("#"&amp;ADDRESS(MATCH($C24,'SATIN ALMA'!$R:$R,0),COLUMN('SATIN ALMA'!$R:$R),1,1,"SATIN ALMA"),"Git →"),"Bulunamadı"
)</f>
        <v>Git →</v>
      </c>
      <c r="G24" s="22"/>
      <c r="H24" s="1"/>
      <c r="I24" s="31">
        <v>5.4300000000000001E-2</v>
      </c>
      <c r="J24" s="31"/>
      <c r="K24" s="34">
        <v>297</v>
      </c>
      <c r="L24" s="31"/>
      <c r="M24" s="31"/>
      <c r="N24" s="31">
        <v>6.9400000000000003E-2</v>
      </c>
      <c r="O24" s="31" t="s">
        <v>168</v>
      </c>
      <c r="P24" s="34">
        <v>7.61</v>
      </c>
      <c r="Q24" s="31"/>
      <c r="R24" s="31"/>
      <c r="S24" s="31"/>
      <c r="T24" s="31"/>
      <c r="U24" s="31"/>
      <c r="V24" s="31"/>
    </row>
    <row r="25" spans="1:22" x14ac:dyDescent="0.2">
      <c r="A25" s="1" t="s">
        <v>414</v>
      </c>
      <c r="B25" s="34" t="s">
        <v>188</v>
      </c>
      <c r="C25" s="1" t="s">
        <v>102</v>
      </c>
      <c r="D25" s="33">
        <v>28</v>
      </c>
      <c r="E25" s="75">
        <v>501649</v>
      </c>
      <c r="F25" s="33" t="str">
        <f>IFERROR(HYPERLINK("#"&amp;ADDRESS(MATCH($C25,'SATIN ALMA'!$R:$R,0),COLUMN('SATIN ALMA'!$R:$R),1,1,"SATIN ALMA"),"Git →"),"Bulunamadı"
)</f>
        <v>Git →</v>
      </c>
      <c r="G25" s="59"/>
      <c r="H25" s="60"/>
      <c r="I25" s="31">
        <v>5.4300000000000001E-2</v>
      </c>
      <c r="J25" s="31"/>
      <c r="K25" s="1">
        <v>306</v>
      </c>
      <c r="L25" s="31"/>
      <c r="M25" s="31"/>
      <c r="N25" s="31">
        <v>8.9200000000000002E-2</v>
      </c>
      <c r="O25" s="31" t="s">
        <v>168</v>
      </c>
      <c r="P25" s="1">
        <v>9.57</v>
      </c>
      <c r="Q25" s="31"/>
      <c r="R25" s="31"/>
      <c r="S25" s="31"/>
      <c r="T25" s="31"/>
      <c r="U25" s="31"/>
      <c r="V25" s="31"/>
    </row>
    <row r="26" spans="1:22" x14ac:dyDescent="0.2">
      <c r="A26" s="1" t="s">
        <v>414</v>
      </c>
      <c r="B26" s="34" t="s">
        <v>235</v>
      </c>
      <c r="C26" s="1" t="s">
        <v>112</v>
      </c>
      <c r="D26" s="33">
        <v>29</v>
      </c>
      <c r="E26" s="75">
        <v>502665</v>
      </c>
      <c r="F26" s="33" t="str">
        <f>IFERROR(HYPERLINK("#"&amp;ADDRESS(MATCH($C26,'SATIN ALMA'!$R:$R,0),COLUMN('SATIN ALMA'!$R:$R),1,1,"SATIN ALMA"),"Git →"),"Bulunamadı"
)</f>
        <v>Git →</v>
      </c>
      <c r="G26" s="22">
        <v>45911</v>
      </c>
      <c r="H26" s="1" t="s">
        <v>134</v>
      </c>
      <c r="I26" s="31">
        <v>5.7500000000000002E-2</v>
      </c>
      <c r="J26" s="31"/>
      <c r="K26" s="57">
        <v>301</v>
      </c>
      <c r="L26" s="31">
        <v>5.2400000000000002E-2</v>
      </c>
      <c r="M26" s="31">
        <v>2.5600000000000001E-2</v>
      </c>
      <c r="N26" s="31">
        <f t="shared" ref="N26:N32" si="0">L26+M26</f>
        <v>7.8E-2</v>
      </c>
      <c r="O26" s="31">
        <v>8.3999999999999995E-3</v>
      </c>
      <c r="P26" s="31">
        <v>5.0200000000000002E-2</v>
      </c>
      <c r="Q26" s="31">
        <v>5.7999999999999996E-3</v>
      </c>
      <c r="R26" s="31">
        <v>1.04E-2</v>
      </c>
      <c r="S26" s="31"/>
      <c r="T26" s="31"/>
      <c r="U26" s="31">
        <v>1.7299999999999999E-2</v>
      </c>
      <c r="V26" s="31">
        <v>9.3100000000000002E-2</v>
      </c>
    </row>
    <row r="27" spans="1:22" x14ac:dyDescent="0.2">
      <c r="A27" s="1" t="s">
        <v>414</v>
      </c>
      <c r="B27" s="34" t="s">
        <v>108</v>
      </c>
      <c r="C27" s="1" t="s">
        <v>111</v>
      </c>
      <c r="D27" s="33">
        <v>30</v>
      </c>
      <c r="E27" s="75">
        <v>502664</v>
      </c>
      <c r="F27" s="33" t="str">
        <f>IFERROR(HYPERLINK("#"&amp;ADDRESS(MATCH($C27,'SATIN ALMA'!$R:$R,0),COLUMN('SATIN ALMA'!$R:$R),1,1,"SATIN ALMA"),"Git →"),"Bulunamadı"
)</f>
        <v>Git →</v>
      </c>
      <c r="G27" s="22">
        <v>45911</v>
      </c>
      <c r="H27" s="1" t="s">
        <v>134</v>
      </c>
      <c r="I27" s="31">
        <v>5.8200000000000002E-2</v>
      </c>
      <c r="J27" s="31"/>
      <c r="K27" s="57">
        <v>285</v>
      </c>
      <c r="L27" s="31">
        <v>4.2500000000000003E-2</v>
      </c>
      <c r="M27" s="31">
        <v>2.5100000000000001E-2</v>
      </c>
      <c r="N27" s="31">
        <f t="shared" si="0"/>
        <v>6.7600000000000007E-2</v>
      </c>
      <c r="O27" s="31">
        <v>1.21E-2</v>
      </c>
      <c r="P27" s="31">
        <v>6.3799999999999996E-2</v>
      </c>
      <c r="Q27" s="31">
        <v>1.0699999999999999E-2</v>
      </c>
      <c r="R27" s="31">
        <v>1.3899999999999999E-2</v>
      </c>
      <c r="S27" s="31"/>
      <c r="T27" s="31"/>
      <c r="U27" s="31">
        <v>1.2699999999999999E-2</v>
      </c>
      <c r="V27" s="31">
        <v>9.3299999999999994E-2</v>
      </c>
    </row>
    <row r="28" spans="1:22" x14ac:dyDescent="0.2">
      <c r="A28" s="1" t="s">
        <v>414</v>
      </c>
      <c r="B28" s="34" t="s">
        <v>356</v>
      </c>
      <c r="C28" s="1" t="s">
        <v>110</v>
      </c>
      <c r="D28" s="33">
        <v>31</v>
      </c>
      <c r="E28" s="75"/>
      <c r="F28" s="33" t="str">
        <f>IFERROR(HYPERLINK("#"&amp;ADDRESS(MATCH($C28,'SATIN ALMA'!$R:$R,0),COLUMN('SATIN ALMA'!$R:$R),1,1,"SATIN ALMA"),"Git →"),"Bulunamadı"
)</f>
        <v>Git →</v>
      </c>
      <c r="G28" s="22">
        <v>45964</v>
      </c>
      <c r="H28" s="1" t="s">
        <v>134</v>
      </c>
      <c r="I28" s="31">
        <v>4.82E-2</v>
      </c>
      <c r="J28" s="31"/>
      <c r="K28" s="57">
        <v>305</v>
      </c>
      <c r="L28" s="31">
        <v>0.04</v>
      </c>
      <c r="M28" s="31">
        <v>2.8400000000000002E-2</v>
      </c>
      <c r="N28" s="31">
        <f t="shared" si="0"/>
        <v>6.8400000000000002E-2</v>
      </c>
      <c r="O28" s="31">
        <v>8.0000000000000002E-3</v>
      </c>
      <c r="P28" s="31">
        <v>6.1699999999999998E-2</v>
      </c>
      <c r="Q28" s="31">
        <v>1.0699999999999999E-2</v>
      </c>
      <c r="R28" s="31">
        <v>4.8999999999999998E-3</v>
      </c>
      <c r="S28" s="31"/>
      <c r="T28" s="31"/>
      <c r="U28" s="31">
        <v>1.66E-2</v>
      </c>
      <c r="V28" s="31">
        <v>0.154</v>
      </c>
    </row>
    <row r="29" spans="1:22" x14ac:dyDescent="0.2">
      <c r="A29" s="1" t="s">
        <v>414</v>
      </c>
      <c r="B29" s="34" t="s">
        <v>355</v>
      </c>
      <c r="C29" s="1" t="s">
        <v>109</v>
      </c>
      <c r="D29" s="33">
        <v>32</v>
      </c>
      <c r="E29" s="75"/>
      <c r="F29" s="33" t="str">
        <f>IFERROR(HYPERLINK("#"&amp;ADDRESS(MATCH($C29,'SATIN ALMA'!$R:$R,0),COLUMN('SATIN ALMA'!$R:$R),1,1,"SATIN ALMA"),"Git →"),"Bulunamadı"
)</f>
        <v>Git →</v>
      </c>
      <c r="G29" s="22">
        <v>45964</v>
      </c>
      <c r="H29" s="1" t="s">
        <v>134</v>
      </c>
      <c r="I29" s="31">
        <v>4.7600000000000003E-2</v>
      </c>
      <c r="J29" s="31"/>
      <c r="K29" s="57">
        <v>312</v>
      </c>
      <c r="L29" s="31">
        <v>3.8600000000000002E-2</v>
      </c>
      <c r="M29" s="31">
        <v>2.2499999999999999E-2</v>
      </c>
      <c r="N29" s="31">
        <f t="shared" si="0"/>
        <v>6.1100000000000002E-2</v>
      </c>
      <c r="O29" s="31">
        <v>8.8000000000000005E-3</v>
      </c>
      <c r="P29" s="31">
        <v>5.0500000000000003E-2</v>
      </c>
      <c r="Q29" s="31">
        <v>1.1599999999999999E-2</v>
      </c>
      <c r="R29" s="31">
        <v>6.0000000000000001E-3</v>
      </c>
      <c r="S29" s="31"/>
      <c r="T29" s="31"/>
      <c r="U29" s="31">
        <v>2.3300000000000001E-2</v>
      </c>
      <c r="V29" s="31">
        <v>0.13070000000000001</v>
      </c>
    </row>
    <row r="30" spans="1:22" x14ac:dyDescent="0.2">
      <c r="A30" s="1" t="s">
        <v>414</v>
      </c>
      <c r="B30" s="34" t="s">
        <v>357</v>
      </c>
      <c r="C30" s="1" t="s">
        <v>113</v>
      </c>
      <c r="D30" s="33">
        <v>34</v>
      </c>
      <c r="E30" s="75">
        <v>508410</v>
      </c>
      <c r="F30" s="33" t="str">
        <f>IFERROR(HYPERLINK("#"&amp;ADDRESS(MATCH($C30,'SATIN ALMA'!$R:$R,0),COLUMN('SATIN ALMA'!$R:$R),1,1,"SATIN ALMA"),"Git →"),"Bulunamadı"
)</f>
        <v>Git →</v>
      </c>
      <c r="G30" s="22">
        <v>45975</v>
      </c>
      <c r="H30" s="1" t="s">
        <v>134</v>
      </c>
      <c r="I30" s="31">
        <v>4.9000000000000002E-2</v>
      </c>
      <c r="J30" s="31"/>
      <c r="K30" s="57">
        <v>311</v>
      </c>
      <c r="L30" s="31">
        <v>3.9800000000000002E-2</v>
      </c>
      <c r="M30" s="31">
        <v>3.6299999999999999E-2</v>
      </c>
      <c r="N30" s="31">
        <f t="shared" si="0"/>
        <v>7.6100000000000001E-2</v>
      </c>
      <c r="O30" s="31">
        <v>8.2000000000000007E-3</v>
      </c>
      <c r="P30" s="31">
        <v>3.1699999999999999E-2</v>
      </c>
      <c r="Q30" s="31">
        <v>1.2699999999999999E-2</v>
      </c>
      <c r="R30" s="31">
        <v>8.0000000000000002E-3</v>
      </c>
      <c r="S30" s="31">
        <v>0</v>
      </c>
      <c r="T30" s="31">
        <v>0</v>
      </c>
      <c r="U30" s="31">
        <v>1.4E-2</v>
      </c>
      <c r="V30" s="31">
        <v>0.15959999999999999</v>
      </c>
    </row>
    <row r="31" spans="1:22" x14ac:dyDescent="0.2">
      <c r="A31" s="1" t="s">
        <v>414</v>
      </c>
      <c r="B31" s="34" t="s">
        <v>101</v>
      </c>
      <c r="C31" s="1" t="s">
        <v>100</v>
      </c>
      <c r="D31" s="33">
        <v>35</v>
      </c>
      <c r="E31" s="75">
        <v>509115</v>
      </c>
      <c r="F31" s="33" t="str">
        <f>IFERROR(HYPERLINK("#"&amp;ADDRESS(MATCH($C31,'SATIN ALMA'!$R:$R,0),COLUMN('SATIN ALMA'!$R:$R),1,1,"SATIN ALMA"),"Git →"),"Bulunamadı"
)</f>
        <v>Git →</v>
      </c>
      <c r="G31" s="22">
        <v>45975</v>
      </c>
      <c r="H31" s="1" t="s">
        <v>134</v>
      </c>
      <c r="I31" s="31">
        <v>5.04E-2</v>
      </c>
      <c r="J31" s="31"/>
      <c r="K31" s="57">
        <v>310</v>
      </c>
      <c r="L31" s="31">
        <v>4.8099999999999997E-2</v>
      </c>
      <c r="M31" s="31">
        <v>3.32E-2</v>
      </c>
      <c r="N31" s="31">
        <f t="shared" si="0"/>
        <v>8.1299999999999997E-2</v>
      </c>
      <c r="O31" s="31">
        <v>3.8E-3</v>
      </c>
      <c r="P31" s="31">
        <v>5.11E-2</v>
      </c>
      <c r="Q31" s="31">
        <v>8.8000000000000005E-3</v>
      </c>
      <c r="R31" s="31">
        <v>9.1999999999999998E-3</v>
      </c>
      <c r="S31" s="31">
        <v>0</v>
      </c>
      <c r="T31" s="31">
        <v>0</v>
      </c>
      <c r="U31" s="31">
        <v>1.8800000000000001E-2</v>
      </c>
      <c r="V31" s="31">
        <v>0.15340000000000001</v>
      </c>
    </row>
    <row r="32" spans="1:22" x14ac:dyDescent="0.2">
      <c r="A32" s="1" t="s">
        <v>415</v>
      </c>
      <c r="B32" s="34"/>
      <c r="C32" s="1" t="s">
        <v>400</v>
      </c>
      <c r="D32" s="33">
        <v>510382</v>
      </c>
      <c r="E32" s="75">
        <v>510382</v>
      </c>
      <c r="F32" s="33" t="str">
        <f>IFERROR(HYPERLINK("#"&amp;ADDRESS(MATCH($C32,'SATIN ALMA'!$R:$R,0),COLUMN('SATIN ALMA'!$R:$R),1,1,"SATIN ALMA"),"Git →"),"Bulunamadı"
)</f>
        <v>Bulunamadı</v>
      </c>
      <c r="G32" s="22">
        <v>45971</v>
      </c>
      <c r="H32" s="1" t="s">
        <v>134</v>
      </c>
      <c r="I32" s="31">
        <v>4.6550000000000001E-2</v>
      </c>
      <c r="J32" s="31"/>
      <c r="K32" s="57">
        <v>236</v>
      </c>
      <c r="L32" s="31">
        <v>3.32E-2</v>
      </c>
      <c r="M32" s="31">
        <v>1.5299999999999999E-2</v>
      </c>
      <c r="N32" s="31">
        <f t="shared" si="0"/>
        <v>4.8500000000000001E-2</v>
      </c>
      <c r="O32" s="31">
        <v>2.8199999999999999E-2</v>
      </c>
      <c r="P32" s="31">
        <v>4.9000000000000002E-2</v>
      </c>
      <c r="Q32" s="31">
        <v>1.4999999999999999E-2</v>
      </c>
      <c r="R32" s="31">
        <v>0</v>
      </c>
      <c r="S32" s="31">
        <v>0</v>
      </c>
      <c r="T32" s="31">
        <v>2.0999999999999999E-3</v>
      </c>
      <c r="U32" s="31">
        <v>2.7210000000000002E-2</v>
      </c>
      <c r="V32" s="31">
        <v>0.36480000000000001</v>
      </c>
    </row>
    <row r="33" spans="1:22" x14ac:dyDescent="0.2">
      <c r="A33" s="1" t="s">
        <v>415</v>
      </c>
      <c r="B33" s="34"/>
      <c r="C33" s="1" t="s">
        <v>400</v>
      </c>
      <c r="D33" s="33">
        <v>510382</v>
      </c>
      <c r="E33" s="75">
        <v>510382</v>
      </c>
      <c r="F33" s="33" t="str">
        <f>IFERROR(HYPERLINK("#"&amp;ADDRESS(MATCH($C33,'SATIN ALMA'!$R:$R,0),COLUMN('SATIN ALMA'!$R:$R),1,1,"SATIN ALMA"),"Git →"),"Bulunamadı"
)</f>
        <v>Bulunamadı</v>
      </c>
      <c r="G33" s="22">
        <v>45972</v>
      </c>
      <c r="H33" s="1" t="s">
        <v>134</v>
      </c>
      <c r="I33" s="31">
        <v>4.7800000000000002E-2</v>
      </c>
      <c r="J33" s="31"/>
      <c r="K33" s="57">
        <v>239</v>
      </c>
      <c r="L33" s="31">
        <v>3.49E-2</v>
      </c>
      <c r="M33" s="31">
        <v>1.49E-2</v>
      </c>
      <c r="N33" s="31">
        <v>4.9799999999999997E-2</v>
      </c>
      <c r="O33" s="31">
        <v>2.9100000000000001E-2</v>
      </c>
      <c r="P33" s="31">
        <v>6.4199999999999993E-2</v>
      </c>
      <c r="Q33" s="31">
        <v>1.1599999999999999E-2</v>
      </c>
      <c r="R33" s="31">
        <v>0</v>
      </c>
      <c r="S33" s="31">
        <v>0</v>
      </c>
      <c r="T33" s="31">
        <v>3.0999999999999999E-3</v>
      </c>
      <c r="U33" s="31">
        <v>2.1299999999999999E-2</v>
      </c>
      <c r="V33" s="31">
        <v>0.31159999999999999</v>
      </c>
    </row>
    <row r="34" spans="1:22" x14ac:dyDescent="0.2">
      <c r="A34" s="34"/>
      <c r="B34" s="34" t="s">
        <v>196</v>
      </c>
      <c r="C34" s="1" t="s">
        <v>197</v>
      </c>
      <c r="D34" s="33"/>
      <c r="E34" s="75"/>
      <c r="F34" s="33" t="str">
        <f>IFERROR(HYPERLINK("#"&amp;ADDRESS(MATCH($C34,'SATIN ALMA'!$R:$R,0),COLUMN('SATIN ALMA'!$R:$R),1,1,"SATIN ALMA"),"Git →"),"Bulunamadı"
)</f>
        <v>Bulunamadı</v>
      </c>
      <c r="G34" s="22"/>
      <c r="H34" s="1"/>
      <c r="I34" s="31">
        <v>4.8800000000000003E-2</v>
      </c>
      <c r="J34" s="31"/>
      <c r="K34" s="57">
        <v>326</v>
      </c>
      <c r="L34" s="31"/>
      <c r="M34" s="31"/>
      <c r="N34" s="31">
        <v>8.8599999999999998E-2</v>
      </c>
      <c r="O34" s="31" t="s">
        <v>168</v>
      </c>
      <c r="P34" s="31">
        <v>8.8300000000000003E-2</v>
      </c>
      <c r="Q34" s="31"/>
      <c r="R34" s="31"/>
      <c r="S34" s="31"/>
      <c r="T34" s="31"/>
      <c r="U34" s="31"/>
      <c r="V34" s="31"/>
    </row>
    <row r="35" spans="1:22" x14ac:dyDescent="0.2">
      <c r="A35" s="34" t="s">
        <v>414</v>
      </c>
      <c r="B35" s="34" t="s">
        <v>202</v>
      </c>
      <c r="C35" s="1" t="s">
        <v>203</v>
      </c>
      <c r="D35" s="33">
        <v>97</v>
      </c>
      <c r="E35" s="75"/>
      <c r="F35" s="33" t="str">
        <f>IFERROR(HYPERLINK("#"&amp;ADDRESS(MATCH($C35,'SATIN ALMA'!$R:$R,0),COLUMN('SATIN ALMA'!$R:$R),1,1,"SATIN ALMA"),"Git →"),"Bulunamadı"
)</f>
        <v>Bulunamadı</v>
      </c>
      <c r="G35" s="22">
        <v>45541</v>
      </c>
      <c r="H35" s="1"/>
      <c r="I35" s="61">
        <v>5.3699999999999998E-2</v>
      </c>
      <c r="J35" s="31"/>
      <c r="K35" s="1">
        <v>319</v>
      </c>
      <c r="L35" s="31">
        <v>6.0900000000000003E-2</v>
      </c>
      <c r="M35" s="31">
        <v>1.0200000000000001E-2</v>
      </c>
      <c r="N35" s="61">
        <f>L35+M35</f>
        <v>7.1099999999999997E-2</v>
      </c>
      <c r="O35" s="31">
        <v>6.3200000000000006E-2</v>
      </c>
      <c r="P35" s="61">
        <v>4.7800000000000002E-2</v>
      </c>
      <c r="Q35" s="31">
        <v>3.3099999999999997E-2</v>
      </c>
      <c r="R35" s="31">
        <v>3.9699999999999999E-2</v>
      </c>
      <c r="S35" s="31"/>
      <c r="T35" s="31"/>
      <c r="U35" s="31">
        <v>2.1100000000000001E-2</v>
      </c>
      <c r="V35" s="31">
        <v>0.1132</v>
      </c>
    </row>
    <row r="36" spans="1:22" x14ac:dyDescent="0.2">
      <c r="A36" s="34"/>
      <c r="B36" s="34" t="s">
        <v>198</v>
      </c>
      <c r="C36" s="1" t="s">
        <v>199</v>
      </c>
      <c r="D36" s="33"/>
      <c r="E36" s="75"/>
      <c r="F36" s="33" t="str">
        <f>IFERROR(HYPERLINK("#"&amp;ADDRESS(MATCH($C36,'SATIN ALMA'!$R:$R,0),COLUMN('SATIN ALMA'!$R:$R),1,1,"SATIN ALMA"),"Git →"),"Bulunamadı"
)</f>
        <v>Bulunamadı</v>
      </c>
      <c r="G36" s="22"/>
      <c r="H36" s="1"/>
      <c r="I36" s="61">
        <v>4.8000000000000001E-2</v>
      </c>
      <c r="J36" s="31"/>
      <c r="K36" s="34">
        <v>327</v>
      </c>
      <c r="L36" s="31"/>
      <c r="M36" s="31"/>
      <c r="N36" s="61">
        <v>8.5199999999999998E-2</v>
      </c>
      <c r="O36" s="31" t="s">
        <v>168</v>
      </c>
      <c r="P36" s="61">
        <v>0.1346</v>
      </c>
      <c r="Q36" s="31"/>
      <c r="R36" s="31"/>
      <c r="S36" s="31"/>
      <c r="T36" s="31"/>
      <c r="U36" s="31"/>
      <c r="V36" s="31"/>
    </row>
    <row r="37" spans="1:22" x14ac:dyDescent="0.2">
      <c r="A37" s="34"/>
      <c r="B37" s="34"/>
      <c r="C37" s="1"/>
      <c r="D37" s="33"/>
      <c r="E37" s="75"/>
      <c r="F37" s="33" t="str">
        <f>IFERROR(HYPERLINK("#"&amp;ADDRESS(MATCH($C37,'SATIN ALMA'!$R:$R,0),COLUMN('SATIN ALMA'!$R:$R),1,1,"SATIN ALMA"),"Git →"),"Bulunamadı"
)</f>
        <v>Bulunamadı</v>
      </c>
      <c r="G37" s="22"/>
      <c r="H37" s="1"/>
      <c r="I37" s="31"/>
      <c r="J37" s="31"/>
      <c r="K37" s="57"/>
      <c r="L37" s="31"/>
      <c r="M37" s="31"/>
      <c r="N37" s="31">
        <f t="shared" ref="N37:N60" si="1">L37+M37</f>
        <v>0</v>
      </c>
      <c r="O37" s="31"/>
      <c r="P37" s="31"/>
      <c r="Q37" s="31"/>
      <c r="R37" s="31"/>
      <c r="S37" s="31"/>
      <c r="T37" s="31"/>
      <c r="U37" s="31"/>
      <c r="V37" s="31"/>
    </row>
    <row r="38" spans="1:22" x14ac:dyDescent="0.2">
      <c r="A38" s="34"/>
      <c r="B38" s="34"/>
      <c r="C38" s="1"/>
      <c r="D38" s="33"/>
      <c r="E38" s="75"/>
      <c r="F38" s="33" t="str">
        <f>IFERROR(HYPERLINK("#"&amp;ADDRESS(MATCH($C38,'SATIN ALMA'!$R:$R,0),COLUMN('SATIN ALMA'!$R:$R),1,1,"SATIN ALMA"),"Git →"),"Bulunamadı"
)</f>
        <v>Bulunamadı</v>
      </c>
      <c r="G38" s="22"/>
      <c r="H38" s="1"/>
      <c r="I38" s="31"/>
      <c r="J38" s="31"/>
      <c r="K38" s="57"/>
      <c r="L38" s="31"/>
      <c r="M38" s="31"/>
      <c r="N38" s="31">
        <f t="shared" si="1"/>
        <v>0</v>
      </c>
      <c r="O38" s="31"/>
      <c r="P38" s="31"/>
      <c r="Q38" s="31"/>
      <c r="R38" s="31"/>
      <c r="S38" s="31"/>
      <c r="T38" s="31"/>
      <c r="U38" s="31"/>
      <c r="V38" s="31"/>
    </row>
    <row r="39" spans="1:22" x14ac:dyDescent="0.2">
      <c r="A39" s="34"/>
      <c r="B39" s="34"/>
      <c r="C39" s="1"/>
      <c r="D39" s="33"/>
      <c r="E39" s="75"/>
      <c r="F39" s="33" t="str">
        <f>IFERROR(HYPERLINK("#"&amp;ADDRESS(MATCH($C39,'SATIN ALMA'!$R:$R,0),COLUMN('SATIN ALMA'!$R:$R),1,1,"SATIN ALMA"),"Git →"),"Bulunamadı"
)</f>
        <v>Bulunamadı</v>
      </c>
      <c r="G39" s="22"/>
      <c r="H39" s="1"/>
      <c r="I39" s="31"/>
      <c r="J39" s="31"/>
      <c r="K39" s="57"/>
      <c r="L39" s="31"/>
      <c r="M39" s="31"/>
      <c r="N39" s="31">
        <f t="shared" si="1"/>
        <v>0</v>
      </c>
      <c r="O39" s="31"/>
      <c r="P39" s="31"/>
      <c r="Q39" s="31"/>
      <c r="R39" s="31"/>
      <c r="S39" s="31"/>
      <c r="T39" s="31"/>
      <c r="U39" s="31"/>
      <c r="V39" s="31"/>
    </row>
    <row r="40" spans="1:22" x14ac:dyDescent="0.2">
      <c r="A40" s="34"/>
      <c r="B40" s="34"/>
      <c r="C40" s="1"/>
      <c r="D40" s="33"/>
      <c r="E40" s="75"/>
      <c r="F40" s="33" t="str">
        <f>IFERROR(HYPERLINK("#"&amp;ADDRESS(MATCH($C40,'SATIN ALMA'!$R:$R,0),COLUMN('SATIN ALMA'!$R:$R),1,1,"SATIN ALMA"),"Git →"),"Bulunamadı"
)</f>
        <v>Bulunamadı</v>
      </c>
      <c r="G40" s="22"/>
      <c r="H40" s="1"/>
      <c r="I40" s="31"/>
      <c r="J40" s="31"/>
      <c r="K40" s="57"/>
      <c r="L40" s="31"/>
      <c r="M40" s="31"/>
      <c r="N40" s="31">
        <f t="shared" si="1"/>
        <v>0</v>
      </c>
      <c r="O40" s="31"/>
      <c r="P40" s="31"/>
      <c r="Q40" s="31"/>
      <c r="R40" s="31"/>
      <c r="S40" s="31"/>
      <c r="T40" s="31"/>
      <c r="U40" s="31"/>
      <c r="V40" s="31"/>
    </row>
    <row r="41" spans="1:22" x14ac:dyDescent="0.2">
      <c r="A41" s="34"/>
      <c r="B41" s="34"/>
      <c r="C41" s="1"/>
      <c r="D41" s="33"/>
      <c r="E41" s="75"/>
      <c r="F41" s="33" t="str">
        <f>IFERROR(HYPERLINK("#"&amp;ADDRESS(MATCH($C41,'SATIN ALMA'!$R:$R,0),COLUMN('SATIN ALMA'!$R:$R),1,1,"SATIN ALMA"),"Git →"),"Bulunamadı"
)</f>
        <v>Bulunamadı</v>
      </c>
      <c r="G41" s="22"/>
      <c r="H41" s="1"/>
      <c r="I41" s="31"/>
      <c r="J41" s="31"/>
      <c r="K41" s="57"/>
      <c r="L41" s="31"/>
      <c r="M41" s="31"/>
      <c r="N41" s="31">
        <f t="shared" si="1"/>
        <v>0</v>
      </c>
      <c r="O41" s="31"/>
      <c r="P41" s="31"/>
      <c r="Q41" s="31"/>
      <c r="R41" s="31"/>
      <c r="S41" s="31"/>
      <c r="T41" s="31"/>
      <c r="U41" s="31"/>
      <c r="V41" s="31"/>
    </row>
    <row r="42" spans="1:22" x14ac:dyDescent="0.2">
      <c r="A42" s="34"/>
      <c r="B42" s="34"/>
      <c r="C42" s="1"/>
      <c r="D42" s="33"/>
      <c r="E42" s="75"/>
      <c r="F42" s="33" t="str">
        <f>IFERROR(HYPERLINK("#"&amp;ADDRESS(MATCH($C42,'SATIN ALMA'!$R:$R,0),COLUMN('SATIN ALMA'!$R:$R),1,1,"SATIN ALMA"),"Git →"),"Bulunamadı"
)</f>
        <v>Bulunamadı</v>
      </c>
      <c r="G42" s="22"/>
      <c r="H42" s="1"/>
      <c r="I42" s="31"/>
      <c r="J42" s="31"/>
      <c r="K42" s="57"/>
      <c r="L42" s="31"/>
      <c r="M42" s="31"/>
      <c r="N42" s="31">
        <f t="shared" si="1"/>
        <v>0</v>
      </c>
      <c r="O42" s="31"/>
      <c r="P42" s="31"/>
      <c r="Q42" s="31"/>
      <c r="R42" s="31"/>
      <c r="S42" s="31"/>
      <c r="T42" s="31"/>
      <c r="U42" s="31"/>
      <c r="V42" s="31"/>
    </row>
    <row r="43" spans="1:22" x14ac:dyDescent="0.2">
      <c r="A43" s="34"/>
      <c r="B43" s="34"/>
      <c r="C43" s="1"/>
      <c r="D43" s="33"/>
      <c r="E43" s="75"/>
      <c r="F43" s="33" t="str">
        <f>IFERROR(HYPERLINK("#"&amp;ADDRESS(MATCH($C43,'SATIN ALMA'!$R:$R,0),COLUMN('SATIN ALMA'!$R:$R),1,1,"SATIN ALMA"),"Git →"),"Bulunamadı"
)</f>
        <v>Bulunamadı</v>
      </c>
      <c r="G43" s="22"/>
      <c r="H43" s="1"/>
      <c r="I43" s="31"/>
      <c r="J43" s="31"/>
      <c r="K43" s="57"/>
      <c r="L43" s="31"/>
      <c r="M43" s="31"/>
      <c r="N43" s="31">
        <f t="shared" si="1"/>
        <v>0</v>
      </c>
      <c r="O43" s="31"/>
      <c r="P43" s="31"/>
      <c r="Q43" s="31"/>
      <c r="R43" s="31"/>
      <c r="S43" s="31"/>
      <c r="T43" s="31"/>
      <c r="U43" s="31"/>
      <c r="V43" s="31"/>
    </row>
    <row r="44" spans="1:22" x14ac:dyDescent="0.2">
      <c r="A44" s="34"/>
      <c r="B44" s="34"/>
      <c r="C44" s="1"/>
      <c r="D44" s="33"/>
      <c r="E44" s="75"/>
      <c r="F44" s="33" t="str">
        <f>IFERROR(HYPERLINK("#"&amp;ADDRESS(MATCH($C44,'SATIN ALMA'!$R:$R,0),COLUMN('SATIN ALMA'!$R:$R),1,1,"SATIN ALMA"),"Git →"),"Bulunamadı"
)</f>
        <v>Bulunamadı</v>
      </c>
      <c r="G44" s="22"/>
      <c r="H44" s="1"/>
      <c r="I44" s="31"/>
      <c r="J44" s="31"/>
      <c r="K44" s="57"/>
      <c r="L44" s="31"/>
      <c r="M44" s="31"/>
      <c r="N44" s="31">
        <f t="shared" si="1"/>
        <v>0</v>
      </c>
      <c r="O44" s="31"/>
      <c r="P44" s="31"/>
      <c r="Q44" s="31"/>
      <c r="R44" s="31"/>
      <c r="S44" s="31"/>
      <c r="T44" s="31"/>
      <c r="U44" s="31"/>
      <c r="V44" s="31"/>
    </row>
    <row r="45" spans="1:22" x14ac:dyDescent="0.2">
      <c r="A45" s="34"/>
      <c r="B45" s="34"/>
      <c r="C45" s="1"/>
      <c r="D45" s="33"/>
      <c r="E45" s="75"/>
      <c r="F45" s="33" t="str">
        <f>IFERROR(HYPERLINK("#"&amp;ADDRESS(MATCH($C45,'SATIN ALMA'!$R:$R,0),COLUMN('SATIN ALMA'!$R:$R),1,1,"SATIN ALMA"),"Git →"),"Bulunamadı"
)</f>
        <v>Bulunamadı</v>
      </c>
      <c r="G45" s="22"/>
      <c r="H45" s="1"/>
      <c r="I45" s="31"/>
      <c r="J45" s="31"/>
      <c r="K45" s="57"/>
      <c r="L45" s="31"/>
      <c r="M45" s="31"/>
      <c r="N45" s="31">
        <f t="shared" si="1"/>
        <v>0</v>
      </c>
      <c r="O45" s="31"/>
      <c r="P45" s="31"/>
      <c r="Q45" s="31"/>
      <c r="R45" s="31"/>
      <c r="S45" s="31"/>
      <c r="T45" s="31"/>
      <c r="U45" s="31"/>
      <c r="V45" s="31"/>
    </row>
    <row r="46" spans="1:22" x14ac:dyDescent="0.2">
      <c r="A46" s="34"/>
      <c r="B46" s="34"/>
      <c r="C46" s="1"/>
      <c r="D46" s="33"/>
      <c r="E46" s="75"/>
      <c r="F46" s="33" t="str">
        <f>IFERROR(HYPERLINK("#"&amp;ADDRESS(MATCH($C46,'SATIN ALMA'!$R:$R,0),COLUMN('SATIN ALMA'!$R:$R),1,1,"SATIN ALMA"),"Git →"),"Bulunamadı"
)</f>
        <v>Bulunamadı</v>
      </c>
      <c r="G46" s="22"/>
      <c r="H46" s="1"/>
      <c r="I46" s="31"/>
      <c r="J46" s="31"/>
      <c r="K46" s="57"/>
      <c r="L46" s="31"/>
      <c r="M46" s="31"/>
      <c r="N46" s="31">
        <f t="shared" si="1"/>
        <v>0</v>
      </c>
      <c r="O46" s="31"/>
      <c r="P46" s="31"/>
      <c r="Q46" s="31"/>
      <c r="R46" s="31"/>
      <c r="S46" s="31"/>
      <c r="T46" s="31"/>
      <c r="U46" s="31"/>
      <c r="V46" s="31"/>
    </row>
    <row r="47" spans="1:22" x14ac:dyDescent="0.2">
      <c r="A47" s="34"/>
      <c r="B47" s="34"/>
      <c r="C47" s="1"/>
      <c r="D47" s="33"/>
      <c r="E47" s="75"/>
      <c r="F47" s="33" t="str">
        <f>IFERROR(HYPERLINK("#"&amp;ADDRESS(MATCH($C47,'SATIN ALMA'!$R:$R,0),COLUMN('SATIN ALMA'!$R:$R),1,1,"SATIN ALMA"),"Git →"),"Bulunamadı"
)</f>
        <v>Bulunamadı</v>
      </c>
      <c r="G47" s="22"/>
      <c r="H47" s="1"/>
      <c r="I47" s="31"/>
      <c r="J47" s="31"/>
      <c r="K47" s="57"/>
      <c r="L47" s="31"/>
      <c r="M47" s="31"/>
      <c r="N47" s="31">
        <f t="shared" si="1"/>
        <v>0</v>
      </c>
      <c r="O47" s="31"/>
      <c r="P47" s="31"/>
      <c r="Q47" s="31"/>
      <c r="R47" s="31"/>
      <c r="S47" s="31"/>
      <c r="T47" s="31"/>
      <c r="U47" s="31"/>
      <c r="V47" s="31"/>
    </row>
    <row r="48" spans="1:22" x14ac:dyDescent="0.2">
      <c r="A48" s="34"/>
      <c r="B48" s="34"/>
      <c r="C48" s="1"/>
      <c r="D48" s="33"/>
      <c r="E48" s="75"/>
      <c r="F48" s="33" t="str">
        <f>IFERROR(HYPERLINK("#"&amp;ADDRESS(MATCH($C48,'SATIN ALMA'!$R:$R,0),COLUMN('SATIN ALMA'!$R:$R),1,1,"SATIN ALMA"),"Git →"),"Bulunamadı"
)</f>
        <v>Bulunamadı</v>
      </c>
      <c r="G48" s="22"/>
      <c r="H48" s="1"/>
      <c r="I48" s="31"/>
      <c r="J48" s="31"/>
      <c r="K48" s="57"/>
      <c r="L48" s="31"/>
      <c r="M48" s="31"/>
      <c r="N48" s="31">
        <f t="shared" si="1"/>
        <v>0</v>
      </c>
      <c r="O48" s="31"/>
      <c r="P48" s="31"/>
      <c r="Q48" s="31"/>
      <c r="R48" s="31"/>
      <c r="S48" s="31"/>
      <c r="T48" s="31"/>
      <c r="U48" s="31"/>
      <c r="V48" s="31"/>
    </row>
    <row r="49" spans="1:22" x14ac:dyDescent="0.2">
      <c r="A49" s="34"/>
      <c r="B49" s="34"/>
      <c r="C49" s="1"/>
      <c r="D49" s="33"/>
      <c r="E49" s="75"/>
      <c r="F49" s="33" t="str">
        <f>IFERROR(HYPERLINK("#"&amp;ADDRESS(MATCH($C49,'SATIN ALMA'!$R:$R,0),COLUMN('SATIN ALMA'!$R:$R),1,1,"SATIN ALMA"),"Git →"),"Bulunamadı"
)</f>
        <v>Bulunamadı</v>
      </c>
      <c r="G49" s="22"/>
      <c r="H49" s="1"/>
      <c r="I49" s="31"/>
      <c r="J49" s="31"/>
      <c r="K49" s="57"/>
      <c r="L49" s="31"/>
      <c r="M49" s="31"/>
      <c r="N49" s="31">
        <f t="shared" si="1"/>
        <v>0</v>
      </c>
      <c r="O49" s="31"/>
      <c r="P49" s="31"/>
      <c r="Q49" s="31"/>
      <c r="R49" s="31"/>
      <c r="S49" s="31"/>
      <c r="T49" s="31"/>
      <c r="U49" s="31"/>
      <c r="V49" s="31"/>
    </row>
    <row r="50" spans="1:22" x14ac:dyDescent="0.2">
      <c r="A50" s="34"/>
      <c r="B50" s="34"/>
      <c r="C50" s="1"/>
      <c r="D50" s="33"/>
      <c r="E50" s="75"/>
      <c r="F50" s="33" t="str">
        <f>IFERROR(HYPERLINK("#"&amp;ADDRESS(MATCH($C50,'SATIN ALMA'!$R:$R,0),COLUMN('SATIN ALMA'!$R:$R),1,1,"SATIN ALMA"),"Git →"),"Bulunamadı"
)</f>
        <v>Bulunamadı</v>
      </c>
      <c r="G50" s="22"/>
      <c r="H50" s="1"/>
      <c r="I50" s="31"/>
      <c r="J50" s="31"/>
      <c r="K50" s="57"/>
      <c r="L50" s="31"/>
      <c r="M50" s="31"/>
      <c r="N50" s="31">
        <f t="shared" si="1"/>
        <v>0</v>
      </c>
      <c r="O50" s="31"/>
      <c r="P50" s="31"/>
      <c r="Q50" s="31"/>
      <c r="R50" s="31"/>
      <c r="S50" s="31"/>
      <c r="T50" s="31"/>
      <c r="U50" s="31"/>
      <c r="V50" s="31"/>
    </row>
    <row r="51" spans="1:22" x14ac:dyDescent="0.2">
      <c r="A51" s="34"/>
      <c r="B51" s="34"/>
      <c r="C51" s="1"/>
      <c r="D51" s="33"/>
      <c r="E51" s="75"/>
      <c r="F51" s="33" t="str">
        <f>IFERROR(HYPERLINK("#"&amp;ADDRESS(MATCH($C51,'SATIN ALMA'!$R:$R,0),COLUMN('SATIN ALMA'!$R:$R),1,1,"SATIN ALMA"),"Git →"),"Bulunamadı"
)</f>
        <v>Bulunamadı</v>
      </c>
      <c r="G51" s="22"/>
      <c r="H51" s="1"/>
      <c r="I51" s="31"/>
      <c r="J51" s="31"/>
      <c r="K51" s="57"/>
      <c r="L51" s="31"/>
      <c r="M51" s="31"/>
      <c r="N51" s="31">
        <f t="shared" si="1"/>
        <v>0</v>
      </c>
      <c r="O51" s="31"/>
      <c r="P51" s="31"/>
      <c r="Q51" s="31"/>
      <c r="R51" s="31"/>
      <c r="S51" s="31"/>
      <c r="T51" s="31"/>
      <c r="U51" s="31"/>
      <c r="V51" s="31"/>
    </row>
    <row r="52" spans="1:22" x14ac:dyDescent="0.2">
      <c r="A52" s="34"/>
      <c r="B52" s="34"/>
      <c r="C52" s="1"/>
      <c r="D52" s="33"/>
      <c r="E52" s="75"/>
      <c r="F52" s="33" t="str">
        <f>IFERROR(HYPERLINK("#"&amp;ADDRESS(MATCH($C52,'SATIN ALMA'!$R:$R,0),COLUMN('SATIN ALMA'!$R:$R),1,1,"SATIN ALMA"),"Git →"),"Bulunamadı"
)</f>
        <v>Bulunamadı</v>
      </c>
      <c r="G52" s="22"/>
      <c r="H52" s="1"/>
      <c r="I52" s="31"/>
      <c r="J52" s="31"/>
      <c r="K52" s="57"/>
      <c r="L52" s="31"/>
      <c r="M52" s="31"/>
      <c r="N52" s="31">
        <f t="shared" si="1"/>
        <v>0</v>
      </c>
      <c r="O52" s="31"/>
      <c r="P52" s="31"/>
      <c r="Q52" s="31"/>
      <c r="R52" s="31"/>
      <c r="S52" s="31"/>
      <c r="T52" s="31"/>
      <c r="U52" s="31"/>
      <c r="V52" s="31"/>
    </row>
    <row r="53" spans="1:22" x14ac:dyDescent="0.2">
      <c r="A53" s="34"/>
      <c r="B53" s="34"/>
      <c r="C53" s="1"/>
      <c r="D53" s="33"/>
      <c r="E53" s="75"/>
      <c r="F53" s="33" t="str">
        <f>IFERROR(HYPERLINK("#"&amp;ADDRESS(MATCH($C53,'SATIN ALMA'!$R:$R,0),COLUMN('SATIN ALMA'!$R:$R),1,1,"SATIN ALMA"),"Git →"),"Bulunamadı"
)</f>
        <v>Bulunamadı</v>
      </c>
      <c r="G53" s="22"/>
      <c r="H53" s="1"/>
      <c r="I53" s="31"/>
      <c r="J53" s="31"/>
      <c r="K53" s="57"/>
      <c r="L53" s="31"/>
      <c r="M53" s="31"/>
      <c r="N53" s="31">
        <f t="shared" si="1"/>
        <v>0</v>
      </c>
      <c r="O53" s="31"/>
      <c r="P53" s="31"/>
      <c r="Q53" s="31"/>
      <c r="R53" s="31"/>
      <c r="S53" s="31"/>
      <c r="T53" s="31"/>
      <c r="U53" s="31"/>
      <c r="V53" s="31"/>
    </row>
    <row r="54" spans="1:22" x14ac:dyDescent="0.2">
      <c r="A54" s="34"/>
      <c r="B54" s="34"/>
      <c r="C54" s="1"/>
      <c r="D54" s="33"/>
      <c r="E54" s="75"/>
      <c r="F54" s="33" t="str">
        <f>IFERROR(HYPERLINK("#"&amp;ADDRESS(MATCH($C54,'SATIN ALMA'!$R:$R,0),COLUMN('SATIN ALMA'!$R:$R),1,1,"SATIN ALMA"),"Git →"),"Bulunamadı"
)</f>
        <v>Bulunamadı</v>
      </c>
      <c r="G54" s="22"/>
      <c r="H54" s="1"/>
      <c r="I54" s="31"/>
      <c r="J54" s="31"/>
      <c r="K54" s="57"/>
      <c r="L54" s="31"/>
      <c r="M54" s="31"/>
      <c r="N54" s="31">
        <f t="shared" si="1"/>
        <v>0</v>
      </c>
      <c r="O54" s="31"/>
      <c r="P54" s="31"/>
      <c r="Q54" s="31"/>
      <c r="R54" s="31"/>
      <c r="S54" s="31"/>
      <c r="T54" s="31"/>
      <c r="U54" s="31"/>
      <c r="V54" s="31"/>
    </row>
    <row r="55" spans="1:22" x14ac:dyDescent="0.2">
      <c r="A55" s="34"/>
      <c r="B55" s="34"/>
      <c r="C55" s="1"/>
      <c r="D55" s="33"/>
      <c r="E55" s="75"/>
      <c r="F55" s="33" t="str">
        <f>IFERROR(HYPERLINK("#"&amp;ADDRESS(MATCH($C55,'SATIN ALMA'!$R:$R,0),COLUMN('SATIN ALMA'!$R:$R),1,1,"SATIN ALMA"),"Git →"),"Bulunamadı"
)</f>
        <v>Bulunamadı</v>
      </c>
      <c r="G55" s="22"/>
      <c r="H55" s="1"/>
      <c r="I55" s="31"/>
      <c r="J55" s="31"/>
      <c r="K55" s="57"/>
      <c r="L55" s="31"/>
      <c r="M55" s="31"/>
      <c r="N55" s="31">
        <f t="shared" si="1"/>
        <v>0</v>
      </c>
      <c r="O55" s="31"/>
      <c r="P55" s="31"/>
      <c r="Q55" s="31"/>
      <c r="R55" s="31"/>
      <c r="S55" s="31"/>
      <c r="T55" s="31"/>
      <c r="U55" s="31"/>
      <c r="V55" s="31"/>
    </row>
    <row r="56" spans="1:22" x14ac:dyDescent="0.2">
      <c r="A56" s="34"/>
      <c r="B56" s="34"/>
      <c r="C56" s="1"/>
      <c r="D56" s="33"/>
      <c r="E56" s="75"/>
      <c r="F56" s="33" t="str">
        <f>IFERROR(HYPERLINK("#"&amp;ADDRESS(MATCH($C56,'SATIN ALMA'!$R:$R,0),COLUMN('SATIN ALMA'!$R:$R),1,1,"SATIN ALMA"),"Git →"),"Bulunamadı"
)</f>
        <v>Bulunamadı</v>
      </c>
      <c r="G56" s="22"/>
      <c r="H56" s="1"/>
      <c r="I56" s="31"/>
      <c r="J56" s="31"/>
      <c r="K56" s="57"/>
      <c r="L56" s="31"/>
      <c r="M56" s="31"/>
      <c r="N56" s="31">
        <f t="shared" si="1"/>
        <v>0</v>
      </c>
      <c r="O56" s="31"/>
      <c r="P56" s="31"/>
      <c r="Q56" s="31"/>
      <c r="R56" s="31"/>
      <c r="S56" s="31"/>
      <c r="T56" s="31"/>
      <c r="U56" s="31"/>
      <c r="V56" s="31"/>
    </row>
    <row r="57" spans="1:22" x14ac:dyDescent="0.2">
      <c r="A57" s="34"/>
      <c r="B57" s="34"/>
      <c r="C57" s="1"/>
      <c r="D57" s="33"/>
      <c r="E57" s="75"/>
      <c r="F57" s="33" t="str">
        <f>IFERROR(HYPERLINK("#"&amp;ADDRESS(MATCH($C57,'SATIN ALMA'!$R:$R,0),COLUMN('SATIN ALMA'!$R:$R),1,1,"SATIN ALMA"),"Git →"),"Bulunamadı"
)</f>
        <v>Bulunamadı</v>
      </c>
      <c r="G57" s="22"/>
      <c r="H57" s="1"/>
      <c r="I57" s="31"/>
      <c r="J57" s="31"/>
      <c r="K57" s="57"/>
      <c r="L57" s="31"/>
      <c r="M57" s="31"/>
      <c r="N57" s="31">
        <f t="shared" si="1"/>
        <v>0</v>
      </c>
      <c r="O57" s="31"/>
      <c r="P57" s="31"/>
      <c r="Q57" s="31"/>
      <c r="R57" s="31"/>
      <c r="S57" s="31"/>
      <c r="T57" s="31"/>
      <c r="U57" s="31"/>
      <c r="V57" s="31"/>
    </row>
    <row r="58" spans="1:22" x14ac:dyDescent="0.2">
      <c r="A58" s="34"/>
      <c r="B58" s="34"/>
      <c r="C58" s="1"/>
      <c r="D58" s="33"/>
      <c r="E58" s="75"/>
      <c r="F58" s="33" t="str">
        <f>IFERROR(HYPERLINK("#"&amp;ADDRESS(MATCH($C58,'SATIN ALMA'!$R:$R,0),COLUMN('SATIN ALMA'!$R:$R),1,1,"SATIN ALMA"),"Git →"),"Bulunamadı"
)</f>
        <v>Bulunamadı</v>
      </c>
      <c r="G58" s="22"/>
      <c r="H58" s="1"/>
      <c r="I58" s="31"/>
      <c r="J58" s="31"/>
      <c r="K58" s="57"/>
      <c r="L58" s="31"/>
      <c r="M58" s="31"/>
      <c r="N58" s="31">
        <f t="shared" si="1"/>
        <v>0</v>
      </c>
      <c r="O58" s="31"/>
      <c r="P58" s="31"/>
      <c r="Q58" s="31"/>
      <c r="R58" s="31"/>
      <c r="S58" s="31"/>
      <c r="T58" s="31"/>
      <c r="U58" s="31"/>
      <c r="V58" s="31"/>
    </row>
    <row r="59" spans="1:22" x14ac:dyDescent="0.2">
      <c r="A59" s="34"/>
      <c r="B59" s="34"/>
      <c r="C59" s="1"/>
      <c r="D59" s="33"/>
      <c r="E59" s="75"/>
      <c r="F59" s="33" t="str">
        <f>IFERROR(HYPERLINK("#"&amp;ADDRESS(MATCH($C59,'SATIN ALMA'!$R:$R,0),COLUMN('SATIN ALMA'!$R:$R),1,1,"SATIN ALMA"),"Git →"),"Bulunamadı"
)</f>
        <v>Bulunamadı</v>
      </c>
      <c r="G59" s="22"/>
      <c r="H59" s="1"/>
      <c r="I59" s="31"/>
      <c r="J59" s="31"/>
      <c r="K59" s="57"/>
      <c r="L59" s="31"/>
      <c r="M59" s="31"/>
      <c r="N59" s="31">
        <f t="shared" si="1"/>
        <v>0</v>
      </c>
      <c r="O59" s="31"/>
      <c r="P59" s="31"/>
      <c r="Q59" s="31"/>
      <c r="R59" s="31"/>
      <c r="S59" s="31"/>
      <c r="T59" s="31"/>
      <c r="U59" s="31"/>
      <c r="V59" s="31"/>
    </row>
    <row r="60" spans="1:22" x14ac:dyDescent="0.2">
      <c r="A60" s="34"/>
      <c r="B60" s="34"/>
      <c r="C60" s="1"/>
      <c r="D60" s="33"/>
      <c r="E60" s="75"/>
      <c r="F60" s="33" t="str">
        <f>IFERROR(HYPERLINK("#"&amp;ADDRESS(MATCH($C60,'SATIN ALMA'!$R:$R,0),COLUMN('SATIN ALMA'!$R:$R),1,1,"SATIN ALMA"),"Git →"),"Bulunamadı"
)</f>
        <v>Bulunamadı</v>
      </c>
      <c r="G60" s="22"/>
      <c r="H60" s="1"/>
      <c r="I60" s="31"/>
      <c r="J60" s="31"/>
      <c r="K60" s="57"/>
      <c r="L60" s="31"/>
      <c r="M60" s="31"/>
      <c r="N60" s="31">
        <f t="shared" si="1"/>
        <v>0</v>
      </c>
      <c r="O60" s="31"/>
      <c r="P60" s="31"/>
      <c r="Q60" s="31"/>
      <c r="R60" s="31"/>
      <c r="S60" s="31"/>
      <c r="T60" s="31"/>
      <c r="U60" s="31"/>
      <c r="V60" s="31"/>
    </row>
    <row r="61" spans="1:22" x14ac:dyDescent="0.2">
      <c r="A61" s="34"/>
      <c r="B61" s="34"/>
      <c r="C61" s="1"/>
      <c r="D61" s="33"/>
      <c r="E61" s="75"/>
      <c r="F61" s="33"/>
      <c r="G61" s="22"/>
      <c r="H61" s="1"/>
      <c r="I61" s="31"/>
      <c r="J61" s="31"/>
      <c r="K61" s="57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</row>
    <row r="62" spans="1:22" x14ac:dyDescent="0.2">
      <c r="A62" s="34"/>
      <c r="B62" s="34"/>
      <c r="C62" s="1"/>
      <c r="D62" s="33"/>
      <c r="E62" s="75"/>
      <c r="F62" s="33"/>
      <c r="G62" s="22"/>
      <c r="H62" s="1"/>
      <c r="I62" s="31"/>
      <c r="J62" s="31"/>
      <c r="K62" s="57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</row>
    <row r="63" spans="1:22" x14ac:dyDescent="0.2">
      <c r="A63" s="34"/>
      <c r="B63" s="34"/>
      <c r="C63" s="1"/>
      <c r="D63" s="33"/>
      <c r="E63" s="75"/>
      <c r="F63" s="33"/>
      <c r="G63" s="22"/>
      <c r="H63" s="1"/>
      <c r="I63" s="31"/>
      <c r="J63" s="31"/>
      <c r="K63" s="57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</row>
    <row r="64" spans="1:22" x14ac:dyDescent="0.2">
      <c r="A64" s="34"/>
      <c r="B64" s="34"/>
      <c r="C64" s="1"/>
      <c r="D64" s="33"/>
      <c r="E64" s="75"/>
      <c r="F64" s="33"/>
      <c r="G64" s="22"/>
      <c r="H64" s="1"/>
      <c r="I64" s="31"/>
      <c r="J64" s="31"/>
      <c r="K64" s="57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</row>
    <row r="65" spans="1:22" x14ac:dyDescent="0.2">
      <c r="A65" s="34"/>
      <c r="B65" s="34"/>
      <c r="C65" s="1"/>
      <c r="D65" s="33"/>
      <c r="E65" s="75"/>
      <c r="F65" s="33"/>
      <c r="G65" s="22"/>
      <c r="H65" s="1"/>
      <c r="I65" s="31"/>
      <c r="J65" s="31"/>
      <c r="K65" s="57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</row>
    <row r="66" spans="1:22" x14ac:dyDescent="0.2">
      <c r="A66" s="34"/>
      <c r="B66" s="34"/>
      <c r="C66" s="1"/>
      <c r="D66" s="33"/>
      <c r="E66" s="75"/>
      <c r="F66" s="33"/>
      <c r="G66" s="22"/>
      <c r="H66" s="1"/>
      <c r="I66" s="31"/>
      <c r="J66" s="31"/>
      <c r="K66" s="57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</row>
    <row r="67" spans="1:22" x14ac:dyDescent="0.2">
      <c r="A67" s="34"/>
      <c r="B67" s="34"/>
      <c r="C67" s="1"/>
      <c r="D67" s="33"/>
      <c r="E67" s="75"/>
      <c r="F67" s="33"/>
      <c r="G67" s="22"/>
      <c r="H67" s="1"/>
      <c r="I67" s="31"/>
      <c r="J67" s="31"/>
      <c r="K67" s="57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</row>
    <row r="68" spans="1:22" x14ac:dyDescent="0.2">
      <c r="A68" s="34"/>
      <c r="B68" s="34"/>
      <c r="C68" s="1"/>
      <c r="D68" s="33"/>
      <c r="E68" s="75"/>
      <c r="F68" s="33"/>
      <c r="G68" s="22"/>
      <c r="H68" s="1"/>
      <c r="I68" s="31"/>
      <c r="J68" s="31"/>
      <c r="K68" s="57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</row>
    <row r="69" spans="1:22" x14ac:dyDescent="0.2">
      <c r="A69" s="34"/>
      <c r="B69" s="34"/>
      <c r="C69" s="1"/>
      <c r="D69" s="33"/>
      <c r="E69" s="75"/>
      <c r="F69" s="33"/>
      <c r="G69" s="22"/>
      <c r="H69" s="1"/>
      <c r="I69" s="31"/>
      <c r="J69" s="31"/>
      <c r="K69" s="57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</row>
    <row r="70" spans="1:22" x14ac:dyDescent="0.2">
      <c r="A70" s="34"/>
      <c r="B70" s="34"/>
      <c r="C70" s="1"/>
      <c r="D70" s="33"/>
      <c r="E70" s="75"/>
      <c r="F70" s="33"/>
      <c r="G70" s="22"/>
      <c r="H70" s="1"/>
      <c r="I70" s="31"/>
      <c r="J70" s="31"/>
      <c r="K70" s="57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</row>
    <row r="71" spans="1:22" x14ac:dyDescent="0.2">
      <c r="A71" s="34"/>
      <c r="B71" s="34"/>
      <c r="C71" s="1"/>
      <c r="D71" s="33"/>
      <c r="E71" s="75"/>
      <c r="F71" s="33"/>
      <c r="G71" s="22"/>
      <c r="H71" s="1"/>
      <c r="I71" s="31"/>
      <c r="J71" s="31"/>
      <c r="K71" s="57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</row>
    <row r="72" spans="1:22" x14ac:dyDescent="0.2">
      <c r="A72" s="34"/>
      <c r="B72" s="34"/>
      <c r="C72" s="1"/>
      <c r="D72" s="33"/>
      <c r="E72" s="75"/>
      <c r="F72" s="33"/>
      <c r="G72" s="22"/>
      <c r="H72" s="1"/>
      <c r="I72" s="31"/>
      <c r="J72" s="31"/>
      <c r="K72" s="57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</row>
    <row r="73" spans="1:22" x14ac:dyDescent="0.2">
      <c r="A73" s="34"/>
      <c r="B73" s="34"/>
      <c r="C73" s="1"/>
      <c r="D73" s="33"/>
      <c r="E73" s="75"/>
      <c r="F73" s="33"/>
      <c r="G73" s="22"/>
      <c r="H73" s="1"/>
      <c r="I73" s="31"/>
      <c r="J73" s="31"/>
      <c r="K73" s="57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</row>
    <row r="74" spans="1:22" x14ac:dyDescent="0.2">
      <c r="A74" s="34"/>
      <c r="B74" s="34"/>
      <c r="C74" s="1"/>
      <c r="D74" s="33"/>
      <c r="E74" s="75"/>
      <c r="F74" s="33"/>
      <c r="G74" s="22"/>
      <c r="H74" s="1"/>
      <c r="I74" s="31"/>
      <c r="J74" s="31"/>
      <c r="K74" s="57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</row>
    <row r="75" spans="1:22" x14ac:dyDescent="0.2">
      <c r="A75" s="34"/>
      <c r="B75" s="34"/>
      <c r="C75" s="1"/>
      <c r="D75" s="33"/>
      <c r="E75" s="75"/>
      <c r="F75" s="33"/>
      <c r="G75" s="22"/>
      <c r="H75" s="1"/>
      <c r="I75" s="31"/>
      <c r="J75" s="31"/>
      <c r="K75" s="57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</row>
    <row r="76" spans="1:22" x14ac:dyDescent="0.2">
      <c r="A76" s="34"/>
      <c r="B76" s="34"/>
      <c r="C76" s="1"/>
      <c r="D76" s="33"/>
      <c r="E76" s="75"/>
      <c r="F76" s="33"/>
      <c r="G76" s="22"/>
      <c r="H76" s="1"/>
      <c r="I76" s="31"/>
      <c r="J76" s="31"/>
      <c r="K76" s="57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</row>
    <row r="77" spans="1:22" x14ac:dyDescent="0.2">
      <c r="A77" s="34"/>
      <c r="B77" s="34"/>
      <c r="C77" s="1"/>
      <c r="D77" s="33"/>
      <c r="E77" s="75"/>
      <c r="F77" s="33"/>
      <c r="G77" s="22"/>
      <c r="H77" s="1"/>
      <c r="I77" s="31"/>
      <c r="J77" s="31"/>
      <c r="K77" s="57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</row>
    <row r="78" spans="1:22" x14ac:dyDescent="0.2">
      <c r="A78" s="34"/>
      <c r="B78" s="34"/>
      <c r="C78" s="1"/>
      <c r="D78" s="33"/>
      <c r="E78" s="75"/>
      <c r="F78" s="33"/>
      <c r="G78" s="22"/>
      <c r="H78" s="1"/>
      <c r="I78" s="31"/>
      <c r="J78" s="31"/>
      <c r="K78" s="57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</row>
    <row r="79" spans="1:22" x14ac:dyDescent="0.2">
      <c r="A79" s="34"/>
      <c r="B79" s="34"/>
      <c r="C79" s="1"/>
      <c r="D79" s="33"/>
      <c r="E79" s="75"/>
      <c r="F79" s="33"/>
      <c r="G79" s="22"/>
      <c r="H79" s="1"/>
      <c r="I79" s="31"/>
      <c r="J79" s="31"/>
      <c r="K79" s="57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</row>
    <row r="80" spans="1:22" x14ac:dyDescent="0.2">
      <c r="A80" s="34"/>
      <c r="B80" s="34"/>
      <c r="C80" s="1"/>
      <c r="D80" s="33"/>
      <c r="E80" s="75"/>
      <c r="F80" s="33"/>
      <c r="G80" s="22"/>
      <c r="H80" s="1"/>
      <c r="I80" s="31"/>
      <c r="J80" s="31"/>
      <c r="K80" s="57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</row>
    <row r="81" spans="1:22" x14ac:dyDescent="0.2">
      <c r="A81" s="34"/>
      <c r="B81" s="34"/>
      <c r="C81" s="1"/>
      <c r="D81" s="33"/>
      <c r="E81" s="75"/>
      <c r="F81" s="33"/>
      <c r="G81" s="22"/>
      <c r="H81" s="1"/>
      <c r="I81" s="31"/>
      <c r="J81" s="31"/>
      <c r="K81" s="57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</row>
    <row r="82" spans="1:22" x14ac:dyDescent="0.2">
      <c r="A82" s="34"/>
      <c r="B82" s="34"/>
      <c r="C82" s="1"/>
      <c r="D82" s="33"/>
      <c r="E82" s="75"/>
      <c r="F82" s="33"/>
      <c r="G82" s="22"/>
      <c r="H82" s="1"/>
      <c r="I82" s="31"/>
      <c r="J82" s="31"/>
      <c r="K82" s="57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</row>
    <row r="83" spans="1:22" x14ac:dyDescent="0.2">
      <c r="A83" s="34"/>
      <c r="B83" s="34"/>
      <c r="C83" s="1"/>
      <c r="D83" s="33"/>
      <c r="E83" s="75"/>
      <c r="F83" s="33"/>
      <c r="G83" s="22"/>
      <c r="H83" s="1"/>
      <c r="I83" s="31"/>
      <c r="J83" s="31"/>
      <c r="K83" s="57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</row>
    <row r="84" spans="1:22" x14ac:dyDescent="0.2">
      <c r="A84" s="34"/>
      <c r="B84" s="34"/>
      <c r="C84" s="1"/>
      <c r="D84" s="33"/>
      <c r="E84" s="75"/>
      <c r="F84" s="33"/>
      <c r="G84" s="22"/>
      <c r="H84" s="1"/>
      <c r="I84" s="31"/>
      <c r="J84" s="31"/>
      <c r="K84" s="57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</row>
    <row r="85" spans="1:22" x14ac:dyDescent="0.2">
      <c r="A85" s="34"/>
      <c r="B85" s="34"/>
      <c r="C85" s="1"/>
      <c r="D85" s="33"/>
      <c r="E85" s="75"/>
      <c r="F85" s="33"/>
      <c r="G85" s="22"/>
      <c r="H85" s="1"/>
      <c r="I85" s="31"/>
      <c r="J85" s="31"/>
      <c r="K85" s="57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</row>
    <row r="86" spans="1:22" x14ac:dyDescent="0.2">
      <c r="A86" s="34"/>
      <c r="B86" s="34"/>
      <c r="C86" s="1"/>
      <c r="D86" s="33"/>
      <c r="E86" s="75"/>
      <c r="F86" s="33"/>
      <c r="G86" s="22"/>
      <c r="H86" s="1"/>
      <c r="I86" s="31"/>
      <c r="J86" s="31"/>
      <c r="K86" s="57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</row>
    <row r="87" spans="1:22" x14ac:dyDescent="0.2">
      <c r="A87" s="34"/>
      <c r="B87" s="34"/>
      <c r="C87" s="1"/>
      <c r="D87" s="33"/>
      <c r="E87" s="75"/>
      <c r="F87" s="33"/>
      <c r="G87" s="22"/>
      <c r="H87" s="1"/>
      <c r="I87" s="31"/>
      <c r="J87" s="31"/>
      <c r="K87" s="57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</row>
    <row r="88" spans="1:22" x14ac:dyDescent="0.2">
      <c r="A88" s="34"/>
      <c r="B88" s="34"/>
      <c r="C88" s="1"/>
      <c r="D88" s="33"/>
      <c r="E88" s="75"/>
      <c r="F88" s="33"/>
      <c r="G88" s="22"/>
      <c r="H88" s="1"/>
      <c r="I88" s="31"/>
      <c r="J88" s="31"/>
      <c r="K88" s="57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</row>
    <row r="89" spans="1:22" x14ac:dyDescent="0.2">
      <c r="A89" s="34"/>
      <c r="B89" s="34"/>
      <c r="C89" s="1"/>
      <c r="D89" s="33"/>
      <c r="E89" s="75"/>
      <c r="F89" s="33"/>
      <c r="G89" s="22"/>
      <c r="H89" s="1"/>
      <c r="I89" s="31"/>
      <c r="J89" s="31"/>
      <c r="K89" s="57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</row>
    <row r="90" spans="1:22" x14ac:dyDescent="0.2">
      <c r="A90" s="34"/>
      <c r="B90" s="34"/>
      <c r="C90" s="1"/>
      <c r="D90" s="33"/>
      <c r="E90" s="75"/>
      <c r="F90" s="33"/>
      <c r="G90" s="22"/>
      <c r="H90" s="1"/>
      <c r="I90" s="31"/>
      <c r="J90" s="31"/>
      <c r="K90" s="57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</row>
    <row r="91" spans="1:22" x14ac:dyDescent="0.2">
      <c r="A91" s="34"/>
      <c r="B91" s="34"/>
      <c r="C91" s="1"/>
      <c r="D91" s="33"/>
      <c r="E91" s="75"/>
      <c r="F91" s="33"/>
      <c r="G91" s="22"/>
      <c r="H91" s="1"/>
      <c r="I91" s="31"/>
      <c r="J91" s="31"/>
      <c r="K91" s="57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</row>
    <row r="92" spans="1:22" x14ac:dyDescent="0.2">
      <c r="A92" s="34"/>
      <c r="B92" s="34"/>
      <c r="C92" s="1"/>
      <c r="D92" s="33"/>
      <c r="E92" s="75"/>
      <c r="F92" s="33"/>
      <c r="G92" s="22"/>
      <c r="H92" s="1"/>
      <c r="I92" s="31"/>
      <c r="J92" s="31"/>
      <c r="K92" s="57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</row>
    <row r="93" spans="1:22" x14ac:dyDescent="0.2">
      <c r="A93" s="34"/>
      <c r="B93" s="34"/>
      <c r="C93" s="1"/>
      <c r="D93" s="33"/>
      <c r="E93" s="75"/>
      <c r="F93" s="33"/>
      <c r="G93" s="22"/>
      <c r="H93" s="1"/>
      <c r="I93" s="31"/>
      <c r="J93" s="31"/>
      <c r="K93" s="57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</row>
    <row r="94" spans="1:22" x14ac:dyDescent="0.2">
      <c r="A94" s="34"/>
      <c r="B94" s="34"/>
      <c r="C94" s="1"/>
      <c r="D94" s="33"/>
      <c r="E94" s="75"/>
      <c r="F94" s="33"/>
      <c r="G94" s="22"/>
      <c r="H94" s="1"/>
      <c r="I94" s="31"/>
      <c r="J94" s="31"/>
      <c r="K94" s="57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</row>
    <row r="95" spans="1:22" x14ac:dyDescent="0.2">
      <c r="A95" s="34"/>
      <c r="B95" s="34"/>
      <c r="C95" s="1"/>
      <c r="D95" s="33"/>
      <c r="E95" s="75"/>
      <c r="F95" s="33"/>
      <c r="G95" s="22"/>
      <c r="H95" s="1"/>
      <c r="I95" s="31"/>
      <c r="J95" s="31"/>
      <c r="K95" s="57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</row>
    <row r="96" spans="1:22" x14ac:dyDescent="0.2">
      <c r="A96" s="34"/>
      <c r="B96" s="34"/>
      <c r="C96" s="1"/>
      <c r="D96" s="33"/>
      <c r="E96" s="75"/>
      <c r="F96" s="33"/>
      <c r="G96" s="22"/>
      <c r="H96" s="1"/>
      <c r="I96" s="31"/>
      <c r="J96" s="31"/>
      <c r="K96" s="57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</row>
    <row r="97" spans="1:22" x14ac:dyDescent="0.2">
      <c r="A97" s="34"/>
      <c r="B97" s="34"/>
      <c r="C97" s="1"/>
      <c r="D97" s="33"/>
      <c r="E97" s="75"/>
      <c r="F97" s="33"/>
      <c r="G97" s="22"/>
      <c r="H97" s="1"/>
      <c r="I97" s="31"/>
      <c r="J97" s="31"/>
      <c r="K97" s="57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</row>
    <row r="98" spans="1:22" x14ac:dyDescent="0.2">
      <c r="A98" s="34"/>
      <c r="B98" s="34"/>
      <c r="C98" s="1"/>
      <c r="D98" s="33"/>
      <c r="E98" s="75"/>
      <c r="F98" s="33"/>
      <c r="G98" s="22"/>
      <c r="H98" s="1"/>
      <c r="I98" s="31"/>
      <c r="J98" s="31"/>
      <c r="K98" s="57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</row>
    <row r="99" spans="1:22" x14ac:dyDescent="0.2">
      <c r="A99" s="34"/>
      <c r="B99" s="34"/>
      <c r="C99" s="1"/>
      <c r="D99" s="33"/>
      <c r="E99" s="75"/>
      <c r="F99" s="33"/>
      <c r="G99" s="22"/>
      <c r="H99" s="1"/>
      <c r="I99" s="31"/>
      <c r="J99" s="31"/>
      <c r="K99" s="57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</row>
    <row r="100" spans="1:22" x14ac:dyDescent="0.2">
      <c r="A100" s="34"/>
      <c r="B100" s="34"/>
      <c r="C100" s="1"/>
      <c r="D100" s="33"/>
      <c r="E100" s="75"/>
      <c r="F100" s="33"/>
      <c r="G100" s="22"/>
      <c r="H100" s="1"/>
      <c r="I100" s="31"/>
      <c r="J100" s="31"/>
      <c r="K100" s="57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</row>
    <row r="101" spans="1:22" x14ac:dyDescent="0.2">
      <c r="A101" s="34"/>
      <c r="B101" s="34"/>
      <c r="C101" s="1"/>
      <c r="D101" s="33"/>
      <c r="E101" s="75"/>
      <c r="F101" s="33"/>
      <c r="G101" s="22"/>
      <c r="H101" s="1"/>
      <c r="I101" s="31"/>
      <c r="J101" s="31"/>
      <c r="K101" s="57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</row>
    <row r="102" spans="1:22" x14ac:dyDescent="0.2">
      <c r="A102" s="34"/>
      <c r="B102" s="34"/>
      <c r="C102" s="1"/>
      <c r="D102" s="33"/>
      <c r="E102" s="75"/>
      <c r="F102" s="33"/>
      <c r="G102" s="22"/>
      <c r="H102" s="1"/>
      <c r="I102" s="31"/>
      <c r="J102" s="31"/>
      <c r="K102" s="57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</row>
    <row r="103" spans="1:22" x14ac:dyDescent="0.2">
      <c r="A103" s="34"/>
      <c r="B103" s="34"/>
      <c r="C103" s="1"/>
      <c r="D103" s="33"/>
      <c r="E103" s="75"/>
      <c r="F103" s="33"/>
      <c r="G103" s="22"/>
      <c r="H103" s="1"/>
      <c r="I103" s="31"/>
      <c r="J103" s="31"/>
      <c r="K103" s="57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</row>
    <row r="104" spans="1:22" x14ac:dyDescent="0.2">
      <c r="A104" s="34"/>
      <c r="B104" s="34"/>
      <c r="C104" s="1"/>
      <c r="D104" s="33"/>
      <c r="E104" s="75"/>
      <c r="F104" s="33"/>
      <c r="G104" s="22"/>
      <c r="H104" s="1"/>
      <c r="I104" s="31"/>
      <c r="J104" s="31"/>
      <c r="K104" s="57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</row>
    <row r="105" spans="1:22" x14ac:dyDescent="0.2">
      <c r="A105" s="34"/>
      <c r="B105" s="34"/>
      <c r="C105" s="1"/>
      <c r="D105" s="33"/>
      <c r="E105" s="75"/>
      <c r="F105" s="33"/>
      <c r="G105" s="22"/>
      <c r="H105" s="1"/>
      <c r="I105" s="31"/>
      <c r="J105" s="31"/>
      <c r="K105" s="57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</row>
    <row r="106" spans="1:22" x14ac:dyDescent="0.2">
      <c r="A106" s="34"/>
      <c r="B106" s="34"/>
      <c r="C106" s="1"/>
      <c r="D106" s="33"/>
      <c r="E106" s="75"/>
      <c r="F106" s="33"/>
      <c r="G106" s="22"/>
      <c r="H106" s="1"/>
      <c r="I106" s="31"/>
      <c r="J106" s="31"/>
      <c r="K106" s="57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</row>
    <row r="107" spans="1:22" x14ac:dyDescent="0.2">
      <c r="A107" s="34"/>
      <c r="B107" s="34"/>
      <c r="C107" s="1"/>
      <c r="D107" s="33"/>
      <c r="E107" s="75"/>
      <c r="F107" s="33"/>
      <c r="G107" s="22"/>
      <c r="H107" s="1"/>
      <c r="I107" s="31"/>
      <c r="J107" s="31"/>
      <c r="K107" s="57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</row>
    <row r="108" spans="1:22" x14ac:dyDescent="0.2">
      <c r="A108" s="34"/>
      <c r="B108" s="34"/>
      <c r="C108" s="1"/>
      <c r="D108" s="33"/>
      <c r="E108" s="75"/>
      <c r="F108" s="33"/>
      <c r="G108" s="22"/>
      <c r="H108" s="1"/>
      <c r="I108" s="31"/>
      <c r="J108" s="31"/>
      <c r="K108" s="57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</row>
    <row r="109" spans="1:22" x14ac:dyDescent="0.2">
      <c r="A109" s="34"/>
      <c r="B109" s="34"/>
      <c r="C109" s="1"/>
      <c r="D109" s="33"/>
      <c r="E109" s="75"/>
      <c r="F109" s="33"/>
      <c r="G109" s="22"/>
      <c r="H109" s="1"/>
      <c r="I109" s="31"/>
      <c r="J109" s="31"/>
      <c r="K109" s="57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</row>
    <row r="110" spans="1:22" x14ac:dyDescent="0.2">
      <c r="A110" s="34"/>
      <c r="B110" s="34"/>
      <c r="C110" s="1"/>
      <c r="D110" s="33"/>
      <c r="E110" s="75"/>
      <c r="F110" s="33"/>
      <c r="G110" s="22"/>
      <c r="H110" s="1"/>
      <c r="I110" s="31"/>
      <c r="J110" s="31"/>
      <c r="K110" s="57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</row>
    <row r="111" spans="1:22" x14ac:dyDescent="0.2">
      <c r="A111" s="34"/>
      <c r="B111" s="34"/>
      <c r="C111" s="1"/>
      <c r="D111" s="33"/>
      <c r="E111" s="75"/>
      <c r="F111" s="33"/>
      <c r="G111" s="22"/>
      <c r="H111" s="1"/>
      <c r="I111" s="31"/>
      <c r="J111" s="31"/>
      <c r="K111" s="57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</row>
    <row r="112" spans="1:22" x14ac:dyDescent="0.2">
      <c r="A112" s="34"/>
      <c r="B112" s="34"/>
      <c r="C112" s="1"/>
      <c r="D112" s="33"/>
      <c r="E112" s="75"/>
      <c r="F112" s="33"/>
      <c r="G112" s="22"/>
      <c r="H112" s="1"/>
      <c r="I112" s="31"/>
      <c r="J112" s="31"/>
      <c r="K112" s="57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</row>
    <row r="113" spans="1:22" x14ac:dyDescent="0.2">
      <c r="A113" s="34"/>
      <c r="B113" s="34"/>
      <c r="C113" s="1"/>
      <c r="D113" s="33"/>
      <c r="E113" s="75"/>
      <c r="F113" s="33"/>
      <c r="G113" s="22"/>
      <c r="H113" s="1"/>
      <c r="I113" s="31"/>
      <c r="J113" s="31"/>
      <c r="K113" s="57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</row>
    <row r="114" spans="1:22" x14ac:dyDescent="0.2">
      <c r="A114" s="34"/>
      <c r="B114" s="34"/>
      <c r="C114" s="1"/>
      <c r="D114" s="33"/>
      <c r="E114" s="75"/>
      <c r="F114" s="33"/>
      <c r="G114" s="22"/>
      <c r="H114" s="1"/>
      <c r="I114" s="31"/>
      <c r="J114" s="31"/>
      <c r="K114" s="57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</row>
    <row r="115" spans="1:22" x14ac:dyDescent="0.2">
      <c r="A115" s="34"/>
      <c r="B115" s="34"/>
      <c r="C115" s="1"/>
      <c r="D115" s="33"/>
      <c r="E115" s="75"/>
      <c r="F115" s="33"/>
      <c r="G115" s="22"/>
      <c r="H115" s="1"/>
      <c r="I115" s="31"/>
      <c r="J115" s="31"/>
      <c r="K115" s="57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</row>
    <row r="116" spans="1:22" x14ac:dyDescent="0.2">
      <c r="A116" s="34"/>
      <c r="B116" s="34"/>
      <c r="C116" s="1"/>
      <c r="D116" s="33"/>
      <c r="E116" s="75"/>
      <c r="F116" s="33"/>
      <c r="G116" s="22"/>
      <c r="H116" s="1"/>
      <c r="I116" s="31"/>
      <c r="J116" s="31"/>
      <c r="K116" s="57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</row>
    <row r="117" spans="1:22" x14ac:dyDescent="0.2">
      <c r="A117" s="34"/>
      <c r="B117" s="34"/>
      <c r="C117" s="1"/>
      <c r="D117" s="33"/>
      <c r="E117" s="75"/>
      <c r="F117" s="33"/>
      <c r="G117" s="22"/>
      <c r="H117" s="1"/>
      <c r="I117" s="31"/>
      <c r="J117" s="31"/>
      <c r="K117" s="57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</row>
    <row r="118" spans="1:22" x14ac:dyDescent="0.2">
      <c r="A118" s="34"/>
      <c r="B118" s="34"/>
      <c r="C118" s="1"/>
      <c r="D118" s="33"/>
      <c r="E118" s="75"/>
      <c r="F118" s="33"/>
      <c r="G118" s="22"/>
      <c r="H118" s="1"/>
      <c r="I118" s="31"/>
      <c r="J118" s="31"/>
      <c r="K118" s="57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</row>
    <row r="119" spans="1:22" x14ac:dyDescent="0.2">
      <c r="A119" s="34"/>
      <c r="B119" s="34"/>
      <c r="C119" s="1"/>
      <c r="D119" s="33"/>
      <c r="E119" s="75"/>
      <c r="F119" s="33"/>
      <c r="G119" s="22"/>
      <c r="H119" s="1"/>
      <c r="I119" s="31"/>
      <c r="J119" s="31"/>
      <c r="K119" s="57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</row>
    <row r="120" spans="1:22" x14ac:dyDescent="0.2">
      <c r="A120" s="34"/>
      <c r="B120" s="34"/>
      <c r="C120" s="1"/>
      <c r="D120" s="33"/>
      <c r="E120" s="75"/>
      <c r="F120" s="33"/>
      <c r="G120" s="22"/>
      <c r="H120" s="1"/>
      <c r="I120" s="31"/>
      <c r="J120" s="31"/>
      <c r="K120" s="57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</row>
    <row r="121" spans="1:22" x14ac:dyDescent="0.2">
      <c r="A121" s="34"/>
      <c r="B121" s="34"/>
      <c r="C121" s="1"/>
      <c r="D121" s="33"/>
      <c r="E121" s="75"/>
      <c r="F121" s="33"/>
      <c r="G121" s="22"/>
      <c r="H121" s="1"/>
      <c r="I121" s="31"/>
      <c r="J121" s="31"/>
      <c r="K121" s="57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</row>
    <row r="122" spans="1:22" x14ac:dyDescent="0.2">
      <c r="A122" s="34"/>
      <c r="B122" s="34"/>
      <c r="C122" s="1"/>
      <c r="D122" s="33"/>
      <c r="E122" s="75"/>
      <c r="F122" s="33"/>
      <c r="G122" s="22"/>
      <c r="H122" s="1"/>
      <c r="I122" s="31"/>
      <c r="J122" s="31"/>
      <c r="K122" s="57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</row>
    <row r="123" spans="1:22" x14ac:dyDescent="0.2">
      <c r="A123" s="34"/>
      <c r="B123" s="34"/>
      <c r="C123" s="1"/>
      <c r="D123" s="33"/>
      <c r="E123" s="75"/>
      <c r="F123" s="33"/>
      <c r="G123" s="22"/>
      <c r="H123" s="1"/>
      <c r="I123" s="31"/>
      <c r="J123" s="31"/>
      <c r="K123" s="57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</row>
    <row r="124" spans="1:22" x14ac:dyDescent="0.2">
      <c r="A124" s="34"/>
      <c r="B124" s="34"/>
      <c r="C124" s="1"/>
      <c r="D124" s="33"/>
      <c r="E124" s="75"/>
      <c r="F124" s="33"/>
      <c r="G124" s="22"/>
      <c r="H124" s="1"/>
      <c r="I124" s="31"/>
      <c r="J124" s="31"/>
      <c r="K124" s="57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</row>
    <row r="125" spans="1:22" x14ac:dyDescent="0.2">
      <c r="A125" s="34"/>
      <c r="B125" s="34"/>
      <c r="C125" s="1"/>
      <c r="D125" s="33"/>
      <c r="E125" s="75"/>
      <c r="F125" s="33"/>
      <c r="G125" s="22"/>
      <c r="H125" s="1"/>
      <c r="I125" s="31"/>
      <c r="J125" s="31"/>
      <c r="K125" s="57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</row>
    <row r="126" spans="1:22" x14ac:dyDescent="0.2">
      <c r="A126" s="34"/>
      <c r="B126" s="34"/>
      <c r="C126" s="1"/>
      <c r="D126" s="33"/>
      <c r="E126" s="75"/>
      <c r="F126" s="33"/>
      <c r="G126" s="22"/>
      <c r="H126" s="1"/>
      <c r="I126" s="31"/>
      <c r="J126" s="31"/>
      <c r="K126" s="57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</row>
    <row r="127" spans="1:22" x14ac:dyDescent="0.2">
      <c r="A127" s="34"/>
      <c r="B127" s="34"/>
      <c r="C127" s="1"/>
      <c r="D127" s="33"/>
      <c r="E127" s="75"/>
      <c r="F127" s="33"/>
      <c r="G127" s="22"/>
      <c r="H127" s="1"/>
      <c r="I127" s="31"/>
      <c r="J127" s="31"/>
      <c r="K127" s="57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</row>
    <row r="128" spans="1:22" x14ac:dyDescent="0.2">
      <c r="A128" s="34"/>
      <c r="B128" s="34"/>
      <c r="C128" s="1"/>
      <c r="D128" s="33"/>
      <c r="E128" s="75"/>
      <c r="F128" s="33"/>
      <c r="G128" s="22"/>
      <c r="H128" s="1"/>
      <c r="I128" s="31"/>
      <c r="J128" s="31"/>
      <c r="K128" s="57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</row>
    <row r="129" spans="1:22" x14ac:dyDescent="0.2">
      <c r="A129" s="34"/>
      <c r="B129" s="34"/>
      <c r="C129" s="1"/>
      <c r="D129" s="33"/>
      <c r="E129" s="75"/>
      <c r="F129" s="33"/>
      <c r="G129" s="22"/>
      <c r="H129" s="1"/>
      <c r="I129" s="31"/>
      <c r="J129" s="31"/>
      <c r="K129" s="57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</row>
    <row r="130" spans="1:22" x14ac:dyDescent="0.2">
      <c r="A130" s="34"/>
      <c r="B130" s="34"/>
      <c r="C130" s="1"/>
      <c r="D130" s="33"/>
      <c r="E130" s="75"/>
      <c r="F130" s="33"/>
      <c r="G130" s="22"/>
      <c r="H130" s="1"/>
      <c r="I130" s="31"/>
      <c r="J130" s="31"/>
      <c r="K130" s="57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</row>
    <row r="131" spans="1:22" x14ac:dyDescent="0.2">
      <c r="A131" s="34"/>
      <c r="B131" s="34"/>
      <c r="C131" s="1"/>
      <c r="D131" s="33"/>
      <c r="E131" s="75"/>
      <c r="F131" s="33"/>
      <c r="G131" s="22"/>
      <c r="H131" s="1"/>
      <c r="I131" s="31"/>
      <c r="J131" s="31"/>
      <c r="K131" s="57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</row>
    <row r="132" spans="1:22" x14ac:dyDescent="0.2">
      <c r="A132" s="34"/>
      <c r="B132" s="34"/>
      <c r="C132" s="1"/>
      <c r="D132" s="33"/>
      <c r="E132" s="75"/>
      <c r="F132" s="33"/>
      <c r="G132" s="22"/>
      <c r="H132" s="1"/>
      <c r="I132" s="31"/>
      <c r="J132" s="31"/>
      <c r="K132" s="57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</row>
    <row r="133" spans="1:22" x14ac:dyDescent="0.2">
      <c r="A133" s="34"/>
      <c r="B133" s="34"/>
      <c r="C133" s="1"/>
      <c r="D133" s="33"/>
      <c r="E133" s="75"/>
      <c r="F133" s="33"/>
      <c r="G133" s="22"/>
      <c r="H133" s="1"/>
      <c r="I133" s="31"/>
      <c r="J133" s="31"/>
      <c r="K133" s="57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</row>
    <row r="134" spans="1:22" x14ac:dyDescent="0.2">
      <c r="A134" s="34"/>
      <c r="B134" s="34"/>
      <c r="C134" s="1"/>
      <c r="D134" s="33"/>
      <c r="E134" s="75"/>
      <c r="F134" s="33"/>
      <c r="G134" s="22"/>
      <c r="H134" s="1"/>
      <c r="I134" s="31"/>
      <c r="J134" s="31"/>
      <c r="K134" s="57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</row>
    <row r="135" spans="1:22" x14ac:dyDescent="0.2">
      <c r="A135" s="34"/>
      <c r="B135" s="34"/>
      <c r="C135" s="1"/>
      <c r="D135" s="33"/>
      <c r="E135" s="75"/>
      <c r="F135" s="33"/>
      <c r="G135" s="22"/>
      <c r="H135" s="1"/>
      <c r="I135" s="31"/>
      <c r="J135" s="31"/>
      <c r="K135" s="57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</row>
    <row r="136" spans="1:22" x14ac:dyDescent="0.2">
      <c r="A136" s="34"/>
      <c r="B136" s="34"/>
      <c r="C136" s="1"/>
      <c r="D136" s="33"/>
      <c r="E136" s="75"/>
      <c r="F136" s="33"/>
      <c r="G136" s="22"/>
      <c r="H136" s="1"/>
      <c r="I136" s="31"/>
      <c r="J136" s="31"/>
      <c r="K136" s="57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</row>
    <row r="137" spans="1:22" x14ac:dyDescent="0.2">
      <c r="A137" s="34"/>
      <c r="B137" s="34"/>
      <c r="C137" s="1"/>
      <c r="D137" s="33"/>
      <c r="E137" s="75"/>
      <c r="F137" s="33"/>
      <c r="G137" s="22"/>
      <c r="H137" s="1"/>
      <c r="I137" s="31"/>
      <c r="J137" s="31"/>
      <c r="K137" s="57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</row>
    <row r="138" spans="1:22" x14ac:dyDescent="0.2">
      <c r="A138" s="34"/>
      <c r="B138" s="34"/>
      <c r="C138" s="1"/>
      <c r="D138" s="33"/>
      <c r="E138" s="75"/>
      <c r="F138" s="33"/>
      <c r="G138" s="22"/>
      <c r="H138" s="1"/>
      <c r="I138" s="31"/>
      <c r="J138" s="31"/>
      <c r="K138" s="57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</row>
    <row r="139" spans="1:22" x14ac:dyDescent="0.2">
      <c r="A139" s="34"/>
      <c r="B139" s="34"/>
      <c r="C139" s="1"/>
      <c r="D139" s="33"/>
      <c r="E139" s="75"/>
      <c r="F139" s="33"/>
      <c r="G139" s="22"/>
      <c r="H139" s="1"/>
      <c r="I139" s="31"/>
      <c r="J139" s="31"/>
      <c r="K139" s="57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</row>
    <row r="140" spans="1:22" x14ac:dyDescent="0.2">
      <c r="A140" s="34"/>
      <c r="B140" s="34"/>
      <c r="C140" s="1"/>
      <c r="D140" s="33"/>
      <c r="E140" s="75"/>
      <c r="F140" s="33"/>
      <c r="G140" s="22"/>
      <c r="H140" s="1"/>
      <c r="I140" s="31"/>
      <c r="J140" s="31"/>
      <c r="K140" s="57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</row>
    <row r="141" spans="1:22" x14ac:dyDescent="0.2">
      <c r="A141" s="34"/>
      <c r="B141" s="34"/>
      <c r="C141" s="1"/>
      <c r="D141" s="33"/>
      <c r="E141" s="75"/>
      <c r="F141" s="33"/>
      <c r="G141" s="22"/>
      <c r="H141" s="1"/>
      <c r="I141" s="31"/>
      <c r="J141" s="31"/>
      <c r="K141" s="57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</row>
    <row r="142" spans="1:22" x14ac:dyDescent="0.2">
      <c r="A142" s="34"/>
      <c r="B142" s="34"/>
      <c r="C142" s="1"/>
      <c r="D142" s="33"/>
      <c r="E142" s="75"/>
      <c r="F142" s="33"/>
      <c r="G142" s="22"/>
      <c r="H142" s="1"/>
      <c r="I142" s="31"/>
      <c r="J142" s="31"/>
      <c r="K142" s="57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</row>
    <row r="143" spans="1:22" x14ac:dyDescent="0.2">
      <c r="A143" s="34"/>
      <c r="B143" s="34"/>
      <c r="C143" s="1"/>
      <c r="D143" s="33"/>
      <c r="E143" s="75"/>
      <c r="F143" s="33"/>
      <c r="G143" s="22"/>
      <c r="H143" s="1"/>
      <c r="I143" s="31"/>
      <c r="J143" s="31"/>
      <c r="K143" s="57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</row>
    <row r="144" spans="1:22" x14ac:dyDescent="0.2">
      <c r="A144" s="34"/>
      <c r="B144" s="34"/>
      <c r="C144" s="1"/>
      <c r="D144" s="33"/>
      <c r="E144" s="75"/>
      <c r="F144" s="33"/>
      <c r="G144" s="22"/>
      <c r="H144" s="1"/>
      <c r="I144" s="31"/>
      <c r="J144" s="31"/>
      <c r="K144" s="57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</row>
    <row r="145" spans="1:22" x14ac:dyDescent="0.2">
      <c r="A145" s="34"/>
      <c r="B145" s="34"/>
      <c r="C145" s="1"/>
      <c r="D145" s="33"/>
      <c r="E145" s="75"/>
      <c r="F145" s="33"/>
      <c r="G145" s="22"/>
      <c r="H145" s="1"/>
      <c r="I145" s="31"/>
      <c r="J145" s="31"/>
      <c r="K145" s="57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</row>
    <row r="146" spans="1:22" x14ac:dyDescent="0.2">
      <c r="A146" s="34"/>
      <c r="B146" s="34"/>
      <c r="C146" s="1"/>
      <c r="D146" s="33"/>
      <c r="E146" s="75"/>
      <c r="F146" s="33"/>
      <c r="G146" s="22"/>
      <c r="H146" s="1"/>
      <c r="I146" s="31"/>
      <c r="J146" s="31"/>
      <c r="K146" s="57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</row>
    <row r="147" spans="1:22" x14ac:dyDescent="0.2">
      <c r="A147" s="34"/>
      <c r="B147" s="34"/>
      <c r="C147" s="1"/>
      <c r="D147" s="33"/>
      <c r="E147" s="75"/>
      <c r="F147" s="33"/>
      <c r="G147" s="22"/>
      <c r="H147" s="1"/>
      <c r="I147" s="31"/>
      <c r="J147" s="31"/>
      <c r="K147" s="57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</row>
    <row r="148" spans="1:22" x14ac:dyDescent="0.2">
      <c r="A148" s="34"/>
      <c r="B148" s="34"/>
      <c r="C148" s="1"/>
      <c r="D148" s="33"/>
      <c r="E148" s="75"/>
      <c r="F148" s="33"/>
      <c r="G148" s="22"/>
      <c r="H148" s="1"/>
      <c r="I148" s="31"/>
      <c r="J148" s="31"/>
      <c r="K148" s="57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</row>
    <row r="149" spans="1:22" x14ac:dyDescent="0.2">
      <c r="A149" s="34"/>
      <c r="B149" s="34"/>
      <c r="C149" s="1"/>
      <c r="D149" s="33"/>
      <c r="E149" s="75"/>
      <c r="F149" s="33"/>
      <c r="G149" s="22"/>
      <c r="H149" s="1"/>
      <c r="I149" s="31"/>
      <c r="J149" s="31"/>
      <c r="K149" s="57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</row>
    <row r="150" spans="1:22" x14ac:dyDescent="0.2">
      <c r="A150" s="34"/>
      <c r="B150" s="34"/>
      <c r="C150" s="1"/>
      <c r="D150" s="33"/>
      <c r="E150" s="75"/>
      <c r="F150" s="33"/>
      <c r="G150" s="22"/>
      <c r="H150" s="1"/>
      <c r="I150" s="31"/>
      <c r="J150" s="31"/>
      <c r="K150" s="57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</row>
    <row r="151" spans="1:22" x14ac:dyDescent="0.2">
      <c r="A151" s="34"/>
      <c r="B151" s="34"/>
      <c r="C151" s="1"/>
      <c r="D151" s="33"/>
      <c r="E151" s="75"/>
      <c r="F151" s="33"/>
      <c r="G151" s="22"/>
      <c r="H151" s="1"/>
      <c r="I151" s="31"/>
      <c r="J151" s="31"/>
      <c r="K151" s="57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</row>
    <row r="152" spans="1:22" x14ac:dyDescent="0.2">
      <c r="A152" s="34"/>
      <c r="B152" s="34"/>
      <c r="C152" s="1"/>
      <c r="D152" s="33"/>
      <c r="E152" s="75"/>
      <c r="F152" s="33"/>
      <c r="G152" s="22"/>
      <c r="H152" s="1"/>
      <c r="I152" s="31"/>
      <c r="J152" s="31"/>
      <c r="K152" s="57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</row>
    <row r="153" spans="1:22" x14ac:dyDescent="0.2">
      <c r="A153" s="34"/>
      <c r="B153" s="34"/>
      <c r="C153" s="1"/>
      <c r="D153" s="33"/>
      <c r="E153" s="75"/>
      <c r="F153" s="33"/>
      <c r="G153" s="22"/>
      <c r="H153" s="1"/>
      <c r="I153" s="31"/>
      <c r="J153" s="31"/>
      <c r="K153" s="57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</row>
    <row r="154" spans="1:22" x14ac:dyDescent="0.2">
      <c r="A154" s="34"/>
      <c r="B154" s="34"/>
      <c r="C154" s="1"/>
      <c r="D154" s="33"/>
      <c r="E154" s="75"/>
      <c r="F154" s="33"/>
      <c r="G154" s="22"/>
      <c r="H154" s="1"/>
      <c r="I154" s="31"/>
      <c r="J154" s="31"/>
      <c r="K154" s="57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</row>
    <row r="155" spans="1:22" x14ac:dyDescent="0.2">
      <c r="A155" s="34"/>
      <c r="B155" s="34"/>
      <c r="C155" s="1"/>
      <c r="D155" s="33"/>
      <c r="E155" s="75"/>
      <c r="F155" s="33"/>
      <c r="G155" s="22"/>
      <c r="H155" s="1"/>
      <c r="I155" s="31"/>
      <c r="J155" s="31"/>
      <c r="K155" s="57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</row>
    <row r="156" spans="1:22" x14ac:dyDescent="0.2">
      <c r="A156" s="34"/>
      <c r="B156" s="34"/>
      <c r="C156" s="1"/>
      <c r="D156" s="33"/>
      <c r="E156" s="75"/>
      <c r="F156" s="33"/>
      <c r="G156" s="22"/>
      <c r="H156" s="1"/>
      <c r="I156" s="31"/>
      <c r="J156" s="31"/>
      <c r="K156" s="57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</row>
    <row r="157" spans="1:22" x14ac:dyDescent="0.2">
      <c r="A157" s="34"/>
      <c r="B157" s="34"/>
      <c r="C157" s="1"/>
      <c r="D157" s="33"/>
      <c r="E157" s="75"/>
      <c r="F157" s="33"/>
      <c r="G157" s="22"/>
      <c r="H157" s="1"/>
      <c r="I157" s="31"/>
      <c r="J157" s="31"/>
      <c r="K157" s="57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</row>
    <row r="158" spans="1:22" x14ac:dyDescent="0.2">
      <c r="A158" s="34"/>
      <c r="B158" s="34"/>
      <c r="C158" s="1"/>
      <c r="D158" s="33"/>
      <c r="E158" s="75"/>
      <c r="F158" s="33"/>
      <c r="G158" s="22"/>
      <c r="H158" s="1"/>
      <c r="I158" s="31"/>
      <c r="J158" s="31"/>
      <c r="K158" s="57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</row>
    <row r="159" spans="1:22" x14ac:dyDescent="0.2">
      <c r="A159" s="34"/>
      <c r="B159" s="34"/>
      <c r="C159" s="1"/>
      <c r="D159" s="33"/>
      <c r="E159" s="75"/>
      <c r="F159" s="33"/>
      <c r="G159" s="22"/>
      <c r="H159" s="1"/>
      <c r="I159" s="31"/>
      <c r="J159" s="31"/>
      <c r="K159" s="57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</row>
    <row r="160" spans="1:22" x14ac:dyDescent="0.2">
      <c r="A160" s="34"/>
      <c r="B160" s="34"/>
      <c r="C160" s="1"/>
      <c r="D160" s="33"/>
      <c r="E160" s="75"/>
      <c r="F160" s="33"/>
      <c r="G160" s="22"/>
      <c r="H160" s="1"/>
      <c r="I160" s="31"/>
      <c r="J160" s="31"/>
      <c r="K160" s="57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</row>
    <row r="161" spans="1:22" x14ac:dyDescent="0.2">
      <c r="A161" s="34"/>
      <c r="B161" s="34"/>
      <c r="C161" s="1"/>
      <c r="D161" s="33"/>
      <c r="E161" s="75"/>
      <c r="F161" s="33"/>
      <c r="G161" s="22"/>
      <c r="H161" s="1"/>
      <c r="I161" s="31"/>
      <c r="J161" s="31"/>
      <c r="K161" s="57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</row>
    <row r="162" spans="1:22" x14ac:dyDescent="0.2">
      <c r="A162" s="34"/>
      <c r="B162" s="34"/>
      <c r="C162" s="1"/>
      <c r="D162" s="33"/>
      <c r="E162" s="75"/>
      <c r="F162" s="33"/>
      <c r="G162" s="22"/>
      <c r="H162" s="1"/>
      <c r="I162" s="31"/>
      <c r="J162" s="31"/>
      <c r="K162" s="57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</row>
    <row r="163" spans="1:22" x14ac:dyDescent="0.2">
      <c r="A163" s="34"/>
      <c r="B163" s="34"/>
      <c r="C163" s="1"/>
      <c r="D163" s="33"/>
      <c r="E163" s="75"/>
      <c r="F163" s="33"/>
      <c r="G163" s="22"/>
      <c r="H163" s="1"/>
      <c r="I163" s="31"/>
      <c r="J163" s="31"/>
      <c r="K163" s="57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</row>
    <row r="164" spans="1:22" x14ac:dyDescent="0.2">
      <c r="A164" s="34"/>
      <c r="B164" s="34"/>
      <c r="C164" s="1"/>
      <c r="D164" s="33"/>
      <c r="E164" s="75"/>
      <c r="F164" s="33"/>
      <c r="G164" s="22"/>
      <c r="H164" s="1"/>
      <c r="I164" s="31"/>
      <c r="J164" s="31"/>
      <c r="K164" s="57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</row>
    <row r="165" spans="1:22" x14ac:dyDescent="0.2">
      <c r="A165" s="34"/>
      <c r="B165" s="34"/>
      <c r="C165" s="1"/>
      <c r="D165" s="33"/>
      <c r="E165" s="75"/>
      <c r="F165" s="33"/>
      <c r="G165" s="22"/>
      <c r="H165" s="1"/>
      <c r="I165" s="31"/>
      <c r="J165" s="31"/>
      <c r="K165" s="57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</row>
    <row r="166" spans="1:22" x14ac:dyDescent="0.2">
      <c r="A166" s="34"/>
      <c r="B166" s="34"/>
      <c r="C166" s="1"/>
      <c r="D166" s="33"/>
      <c r="E166" s="75"/>
      <c r="F166" s="33"/>
      <c r="G166" s="22"/>
      <c r="H166" s="1"/>
      <c r="I166" s="31"/>
      <c r="J166" s="31"/>
      <c r="K166" s="57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</row>
    <row r="167" spans="1:22" x14ac:dyDescent="0.2">
      <c r="A167" s="34"/>
      <c r="B167" s="34"/>
      <c r="C167" s="1"/>
      <c r="D167" s="33"/>
      <c r="E167" s="75"/>
      <c r="F167" s="33"/>
      <c r="G167" s="22"/>
      <c r="H167" s="1"/>
      <c r="I167" s="31"/>
      <c r="J167" s="31"/>
      <c r="K167" s="57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</row>
    <row r="168" spans="1:22" x14ac:dyDescent="0.2">
      <c r="A168" s="34"/>
      <c r="B168" s="34"/>
      <c r="C168" s="1"/>
      <c r="D168" s="33"/>
      <c r="E168" s="75"/>
      <c r="F168" s="33"/>
      <c r="G168" s="22"/>
      <c r="H168" s="1"/>
      <c r="I168" s="31"/>
      <c r="J168" s="31"/>
      <c r="K168" s="57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</row>
    <row r="169" spans="1:22" x14ac:dyDescent="0.2">
      <c r="A169" s="34"/>
      <c r="B169" s="34"/>
      <c r="C169" s="1"/>
      <c r="D169" s="33"/>
      <c r="E169" s="75"/>
      <c r="F169" s="33"/>
      <c r="G169" s="22"/>
      <c r="H169" s="1"/>
      <c r="I169" s="31"/>
      <c r="J169" s="31"/>
      <c r="K169" s="57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</row>
    <row r="170" spans="1:22" x14ac:dyDescent="0.2">
      <c r="A170" s="34"/>
      <c r="B170" s="34"/>
      <c r="C170" s="1"/>
      <c r="D170" s="33"/>
      <c r="E170" s="75"/>
      <c r="F170" s="33"/>
      <c r="G170" s="22"/>
      <c r="H170" s="1"/>
      <c r="I170" s="31"/>
      <c r="J170" s="31"/>
      <c r="K170" s="57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</row>
    <row r="171" spans="1:22" x14ac:dyDescent="0.2">
      <c r="A171" s="34"/>
      <c r="B171" s="34"/>
      <c r="C171" s="1"/>
      <c r="D171" s="33"/>
      <c r="E171" s="75"/>
      <c r="F171" s="33"/>
      <c r="G171" s="22"/>
      <c r="H171" s="1"/>
      <c r="I171" s="31"/>
      <c r="J171" s="31"/>
      <c r="K171" s="57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</row>
    <row r="172" spans="1:22" x14ac:dyDescent="0.2">
      <c r="A172" s="34"/>
      <c r="B172" s="34"/>
      <c r="C172" s="1"/>
      <c r="D172" s="33"/>
      <c r="E172" s="75"/>
      <c r="F172" s="33"/>
      <c r="G172" s="22"/>
      <c r="H172" s="1"/>
      <c r="I172" s="31"/>
      <c r="J172" s="31"/>
      <c r="K172" s="57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</row>
    <row r="173" spans="1:22" x14ac:dyDescent="0.2">
      <c r="A173" s="34"/>
      <c r="B173" s="34"/>
      <c r="C173" s="1"/>
      <c r="D173" s="33"/>
      <c r="E173" s="75"/>
      <c r="F173" s="33"/>
      <c r="G173" s="22"/>
      <c r="H173" s="1"/>
      <c r="I173" s="31"/>
      <c r="J173" s="31"/>
      <c r="K173" s="57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</row>
    <row r="174" spans="1:22" x14ac:dyDescent="0.2">
      <c r="A174" s="34"/>
      <c r="B174" s="34"/>
      <c r="C174" s="1"/>
      <c r="D174" s="33"/>
      <c r="E174" s="75"/>
      <c r="F174" s="33"/>
      <c r="G174" s="22"/>
      <c r="H174" s="1"/>
      <c r="I174" s="31"/>
      <c r="J174" s="31"/>
      <c r="K174" s="57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</row>
  </sheetData>
  <autoFilter ref="B1:V60" xr:uid="{00000000-0009-0000-0000-000005000000}">
    <sortState xmlns:xlrd2="http://schemas.microsoft.com/office/spreadsheetml/2017/richdata2" ref="B2:V60">
      <sortCondition ref="D1:D60"/>
    </sortState>
  </autoFilter>
  <conditionalFormatting sqref="I2:I174">
    <cfRule type="cellIs" dxfId="35" priority="18" operator="notBetween">
      <formula>0.03</formula>
      <formula>0.05</formula>
    </cfRule>
  </conditionalFormatting>
  <conditionalFormatting sqref="N2:N174">
    <cfRule type="cellIs" dxfId="34" priority="3" operator="greaterThan">
      <formula>0.1</formula>
    </cfRule>
    <cfRule type="cellIs" dxfId="33" priority="17" operator="greaterThan">
      <formula>0.05</formula>
    </cfRule>
  </conditionalFormatting>
  <conditionalFormatting sqref="N175:N1048576">
    <cfRule type="cellIs" dxfId="32" priority="14" operator="greaterThan">
      <formula>0.05</formula>
    </cfRule>
  </conditionalFormatting>
  <conditionalFormatting sqref="O2:O174">
    <cfRule type="cellIs" dxfId="31" priority="1" operator="greaterThan">
      <formula>0.03</formula>
    </cfRule>
  </conditionalFormatting>
  <conditionalFormatting sqref="S2:S33 S34:T34 S35:S1048576">
    <cfRule type="cellIs" dxfId="30" priority="16" operator="greaterThan">
      <formula>0.005</formula>
    </cfRule>
  </conditionalFormatting>
  <conditionalFormatting sqref="V2:V174">
    <cfRule type="cellIs" dxfId="29" priority="2" operator="greaterThan">
      <formula>0.1</formula>
    </cfRule>
  </conditionalFormatting>
  <printOptions headings="1"/>
  <pageMargins left="0.70866141732283472" right="0.70866141732283472" top="0.74803149606299213" bottom="0.74803149606299213" header="0.31496062992125984" footer="0.31496062992125984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A1:V206"/>
  <sheetViews>
    <sheetView zoomScaleNormal="100" workbookViewId="0">
      <pane ySplit="1" topLeftCell="A2" activePane="bottomLeft" state="frozen"/>
      <selection pane="bottomLeft" sqref="A1:V1"/>
    </sheetView>
  </sheetViews>
  <sheetFormatPr defaultRowHeight="12.75" x14ac:dyDescent="0.2"/>
  <cols>
    <col min="1" max="1" width="30.42578125" style="109" bestFit="1" customWidth="1"/>
    <col min="2" max="2" width="7" bestFit="1" customWidth="1"/>
    <col min="3" max="3" width="10.28515625" style="26" bestFit="1" customWidth="1"/>
    <col min="4" max="4" width="10.7109375" style="29" bestFit="1" customWidth="1"/>
    <col min="5" max="5" width="6" style="29" bestFit="1" customWidth="1"/>
    <col min="6" max="6" width="15.28515625" style="29" bestFit="1" customWidth="1"/>
    <col min="7" max="7" width="7.28515625" style="32" bestFit="1" customWidth="1"/>
    <col min="8" max="8" width="12.7109375" style="32" bestFit="1" customWidth="1"/>
    <col min="9" max="9" width="6.42578125" style="58" bestFit="1" customWidth="1"/>
    <col min="10" max="10" width="5.7109375" style="32" bestFit="1" customWidth="1"/>
    <col min="11" max="11" width="7.7109375" style="32" bestFit="1" customWidth="1"/>
    <col min="12" max="12" width="7.5703125" style="32" bestFit="1" customWidth="1"/>
    <col min="13" max="13" width="5.7109375" style="32" bestFit="1" customWidth="1"/>
    <col min="14" max="14" width="13.7109375" style="32" bestFit="1" customWidth="1"/>
    <col min="15" max="15" width="8.42578125" style="32" bestFit="1" customWidth="1"/>
    <col min="16" max="16" width="7.140625" style="32" bestFit="1" customWidth="1"/>
    <col min="17" max="17" width="8.42578125" style="32" bestFit="1" customWidth="1"/>
    <col min="18" max="18" width="11.85546875" style="32" bestFit="1" customWidth="1"/>
    <col min="19" max="19" width="8.7109375" style="94" bestFit="1" customWidth="1"/>
    <col min="20" max="20" width="11.5703125" style="58" bestFit="1" customWidth="1"/>
    <col min="21" max="21" width="12.5703125" style="58" bestFit="1" customWidth="1"/>
    <col min="22" max="22" width="11.140625" style="32" bestFit="1" customWidth="1"/>
  </cols>
  <sheetData>
    <row r="1" spans="1:22" ht="25.5" customHeight="1" x14ac:dyDescent="0.2">
      <c r="A1" s="18" t="s">
        <v>297</v>
      </c>
      <c r="B1" s="11" t="s">
        <v>246</v>
      </c>
      <c r="C1" s="27" t="s">
        <v>131</v>
      </c>
      <c r="D1" s="28" t="s">
        <v>133</v>
      </c>
      <c r="E1" s="28" t="s">
        <v>132</v>
      </c>
      <c r="F1" s="28" t="s">
        <v>249</v>
      </c>
      <c r="G1" s="30" t="s">
        <v>265</v>
      </c>
      <c r="H1" s="15" t="s">
        <v>264</v>
      </c>
      <c r="I1" s="16" t="s">
        <v>127</v>
      </c>
      <c r="J1" s="30" t="s">
        <v>263</v>
      </c>
      <c r="K1" s="30" t="s">
        <v>262</v>
      </c>
      <c r="L1" s="30" t="s">
        <v>261</v>
      </c>
      <c r="M1" s="30" t="s">
        <v>260</v>
      </c>
      <c r="N1" s="30" t="s">
        <v>259</v>
      </c>
      <c r="O1" s="30" t="s">
        <v>258</v>
      </c>
      <c r="P1" s="30" t="s">
        <v>257</v>
      </c>
      <c r="Q1" s="30" t="s">
        <v>256</v>
      </c>
      <c r="R1" s="30" t="s">
        <v>255</v>
      </c>
      <c r="S1" s="92" t="s">
        <v>251</v>
      </c>
      <c r="T1" s="16" t="s">
        <v>254</v>
      </c>
      <c r="U1" s="16" t="s">
        <v>253</v>
      </c>
      <c r="V1" s="30" t="s">
        <v>252</v>
      </c>
    </row>
    <row r="2" spans="1:22" x14ac:dyDescent="0.2">
      <c r="A2" s="107" t="s">
        <v>299</v>
      </c>
      <c r="B2" s="33">
        <v>501594</v>
      </c>
      <c r="C2" s="22">
        <v>45902</v>
      </c>
      <c r="D2" s="1" t="s">
        <v>247</v>
      </c>
      <c r="E2" s="1" t="s">
        <v>248</v>
      </c>
      <c r="F2" s="1" t="s">
        <v>250</v>
      </c>
      <c r="G2" s="31">
        <v>1.8800000000000001E-2</v>
      </c>
      <c r="H2" s="31">
        <v>0</v>
      </c>
      <c r="I2" s="57">
        <v>310</v>
      </c>
      <c r="J2" s="31">
        <v>7.7499999999999999E-2</v>
      </c>
      <c r="K2" s="31">
        <v>2.5100000000000001E-2</v>
      </c>
      <c r="L2" s="31">
        <v>1.7100000000000001E-2</v>
      </c>
      <c r="M2" s="31">
        <v>5.4000000000000003E-3</v>
      </c>
      <c r="N2" s="31">
        <v>0</v>
      </c>
      <c r="O2" s="31">
        <v>6.4100000000000004E-2</v>
      </c>
      <c r="P2" s="31">
        <v>8.3999999999999995E-3</v>
      </c>
      <c r="Q2" s="31">
        <v>0</v>
      </c>
      <c r="R2" s="31">
        <v>1.24E-2</v>
      </c>
      <c r="S2" s="93">
        <v>0</v>
      </c>
      <c r="T2" s="57">
        <v>332</v>
      </c>
      <c r="U2" s="57">
        <v>144</v>
      </c>
      <c r="V2" s="31">
        <v>1.03E-2</v>
      </c>
    </row>
    <row r="3" spans="1:22" x14ac:dyDescent="0.2">
      <c r="A3" s="107" t="s">
        <v>299</v>
      </c>
      <c r="B3" s="33">
        <v>501594</v>
      </c>
      <c r="C3" s="22">
        <v>45904</v>
      </c>
      <c r="D3" s="1" t="s">
        <v>266</v>
      </c>
      <c r="E3" s="1" t="s">
        <v>248</v>
      </c>
      <c r="F3" s="1" t="s">
        <v>250</v>
      </c>
      <c r="G3" s="31">
        <v>2.1899999999999999E-2</v>
      </c>
      <c r="H3" s="31">
        <v>0</v>
      </c>
      <c r="I3" s="57">
        <v>305</v>
      </c>
      <c r="J3" s="31">
        <v>6.8500000000000005E-2</v>
      </c>
      <c r="K3" s="31">
        <v>4.1799999999999997E-2</v>
      </c>
      <c r="L3" s="31">
        <v>1.6899999999999998E-2</v>
      </c>
      <c r="M3" s="31">
        <v>3.0999999999999999E-3</v>
      </c>
      <c r="N3" s="31">
        <v>0</v>
      </c>
      <c r="O3" s="31">
        <v>2.23E-2</v>
      </c>
      <c r="P3" s="31">
        <v>3.0999999999999999E-3</v>
      </c>
      <c r="Q3" s="31">
        <v>0</v>
      </c>
      <c r="R3" s="31">
        <v>1.7600000000000001E-2</v>
      </c>
      <c r="S3" s="93">
        <v>0</v>
      </c>
      <c r="T3" s="57">
        <v>350</v>
      </c>
      <c r="U3" s="57">
        <v>144</v>
      </c>
      <c r="V3" s="31">
        <v>1.0500000000000001E-2</v>
      </c>
    </row>
    <row r="4" spans="1:22" x14ac:dyDescent="0.2">
      <c r="A4" s="107" t="s">
        <v>299</v>
      </c>
      <c r="B4" s="33">
        <v>503442</v>
      </c>
      <c r="C4" s="22">
        <v>45918</v>
      </c>
      <c r="D4" s="1" t="s">
        <v>266</v>
      </c>
      <c r="E4" s="1" t="s">
        <v>248</v>
      </c>
      <c r="F4" s="1" t="s">
        <v>250</v>
      </c>
      <c r="G4" s="31">
        <v>2.2100000000000002E-2</v>
      </c>
      <c r="H4" s="31">
        <v>0</v>
      </c>
      <c r="I4" s="57">
        <v>300</v>
      </c>
      <c r="J4" s="31">
        <v>7.9000000000000001E-2</v>
      </c>
      <c r="K4" s="31">
        <v>4.2200000000000001E-2</v>
      </c>
      <c r="L4" s="31">
        <v>1.7899999999999999E-2</v>
      </c>
      <c r="M4" s="31">
        <v>7.4999999999999997E-3</v>
      </c>
      <c r="N4" s="31">
        <v>0</v>
      </c>
      <c r="O4" s="31">
        <v>3.5299999999999998E-2</v>
      </c>
      <c r="P4" s="31">
        <v>4.8999999999999998E-3</v>
      </c>
      <c r="Q4" s="31">
        <v>0</v>
      </c>
      <c r="R4" s="31">
        <v>2.24E-2</v>
      </c>
      <c r="S4" s="93">
        <v>0</v>
      </c>
      <c r="T4" s="57">
        <v>385</v>
      </c>
      <c r="U4" s="57">
        <v>146</v>
      </c>
      <c r="V4" s="31">
        <v>1.0500000000000001E-2</v>
      </c>
    </row>
    <row r="5" spans="1:22" x14ac:dyDescent="0.2">
      <c r="A5" s="107" t="s">
        <v>299</v>
      </c>
      <c r="B5" s="33">
        <v>503442</v>
      </c>
      <c r="C5" s="22">
        <v>45919</v>
      </c>
      <c r="D5" s="1" t="s">
        <v>266</v>
      </c>
      <c r="E5" s="1" t="s">
        <v>248</v>
      </c>
      <c r="F5" s="1" t="s">
        <v>250</v>
      </c>
      <c r="G5" s="31">
        <v>2.2100000000000002E-2</v>
      </c>
      <c r="H5" s="31">
        <v>0</v>
      </c>
      <c r="I5" s="57">
        <v>303</v>
      </c>
      <c r="J5" s="31">
        <v>8.2000000000000003E-2</v>
      </c>
      <c r="K5" s="31">
        <v>3.8800000000000001E-2</v>
      </c>
      <c r="L5" s="31">
        <v>1.6E-2</v>
      </c>
      <c r="M5" s="31">
        <v>8.3999999999999995E-3</v>
      </c>
      <c r="N5" s="31">
        <v>0</v>
      </c>
      <c r="O5" s="31">
        <v>2.76E-2</v>
      </c>
      <c r="P5" s="31">
        <v>8.0000000000000002E-3</v>
      </c>
      <c r="Q5" s="31">
        <v>0</v>
      </c>
      <c r="R5" s="31">
        <v>2.75E-2</v>
      </c>
      <c r="S5" s="93">
        <v>16.5</v>
      </c>
      <c r="T5" s="57">
        <v>383</v>
      </c>
      <c r="U5" s="57">
        <v>146</v>
      </c>
      <c r="V5" s="31">
        <v>1.06E-2</v>
      </c>
    </row>
    <row r="6" spans="1:22" x14ac:dyDescent="0.2">
      <c r="A6" s="107" t="s">
        <v>299</v>
      </c>
      <c r="B6" s="33">
        <v>503992</v>
      </c>
      <c r="C6" s="22">
        <v>45924</v>
      </c>
      <c r="D6" s="1" t="s">
        <v>266</v>
      </c>
      <c r="E6" s="1" t="s">
        <v>248</v>
      </c>
      <c r="F6" s="1" t="s">
        <v>250</v>
      </c>
      <c r="G6" s="31">
        <v>2.1399999999999999E-2</v>
      </c>
      <c r="H6" s="31">
        <v>0</v>
      </c>
      <c r="I6" s="57">
        <v>307</v>
      </c>
      <c r="J6" s="31">
        <v>8.8999999999999996E-2</v>
      </c>
      <c r="K6" s="31">
        <v>3.1600000000000003E-2</v>
      </c>
      <c r="L6" s="31">
        <v>1.7500000000000002E-2</v>
      </c>
      <c r="M6" s="31">
        <v>4.4999999999999997E-3</v>
      </c>
      <c r="N6" s="31">
        <v>0</v>
      </c>
      <c r="O6" s="31">
        <v>3.0499999999999999E-2</v>
      </c>
      <c r="P6" s="31">
        <v>3.8E-3</v>
      </c>
      <c r="Q6" s="31">
        <v>0</v>
      </c>
      <c r="R6" s="31">
        <v>2.47E-2</v>
      </c>
      <c r="S6" s="93">
        <v>18</v>
      </c>
      <c r="T6" s="57">
        <v>387</v>
      </c>
      <c r="U6" s="57">
        <v>145</v>
      </c>
      <c r="V6" s="31">
        <v>1.0699999999999999E-2</v>
      </c>
    </row>
    <row r="7" spans="1:22" x14ac:dyDescent="0.2">
      <c r="A7" s="107" t="s">
        <v>299</v>
      </c>
      <c r="B7" s="33">
        <v>503992</v>
      </c>
      <c r="C7" s="22">
        <v>45925</v>
      </c>
      <c r="D7" s="1" t="s">
        <v>266</v>
      </c>
      <c r="E7" s="1" t="s">
        <v>248</v>
      </c>
      <c r="F7" s="1" t="s">
        <v>250</v>
      </c>
      <c r="G7" s="31">
        <v>2.1399999999999999E-2</v>
      </c>
      <c r="H7" s="31">
        <v>0</v>
      </c>
      <c r="I7" s="57">
        <v>305</v>
      </c>
      <c r="J7" s="31">
        <v>6.6100000000000006E-2</v>
      </c>
      <c r="K7" s="31">
        <v>3.6900000000000002E-2</v>
      </c>
      <c r="L7" s="31">
        <v>1.6899999999999998E-2</v>
      </c>
      <c r="M7" s="31">
        <v>3.2000000000000002E-3</v>
      </c>
      <c r="N7" s="31">
        <v>0</v>
      </c>
      <c r="O7" s="31">
        <v>3.27E-2</v>
      </c>
      <c r="P7" s="31">
        <v>3.5000000000000001E-3</v>
      </c>
      <c r="Q7" s="31">
        <v>0</v>
      </c>
      <c r="R7" s="31">
        <v>2.3599999999999999E-2</v>
      </c>
      <c r="S7" s="93">
        <v>17.5</v>
      </c>
      <c r="T7" s="57">
        <v>388</v>
      </c>
      <c r="U7" s="57">
        <v>145</v>
      </c>
      <c r="V7" s="31">
        <v>1.0699999999999999E-2</v>
      </c>
    </row>
    <row r="8" spans="1:22" x14ac:dyDescent="0.2">
      <c r="A8" s="107" t="s">
        <v>299</v>
      </c>
      <c r="B8" s="33">
        <v>505967</v>
      </c>
      <c r="C8" s="22">
        <v>45933</v>
      </c>
      <c r="D8" s="1" t="s">
        <v>266</v>
      </c>
      <c r="E8" s="1" t="s">
        <v>248</v>
      </c>
      <c r="F8" s="1" t="s">
        <v>250</v>
      </c>
      <c r="G8" s="31">
        <v>2.12E-2</v>
      </c>
      <c r="H8" s="31">
        <v>0</v>
      </c>
      <c r="I8" s="57">
        <v>304</v>
      </c>
      <c r="J8" s="31">
        <v>7.7100000000000002E-2</v>
      </c>
      <c r="K8" s="31">
        <v>3.9899999999999998E-2</v>
      </c>
      <c r="L8" s="31">
        <v>1.84E-2</v>
      </c>
      <c r="M8" s="31">
        <v>2.2000000000000001E-3</v>
      </c>
      <c r="N8" s="31">
        <v>0</v>
      </c>
      <c r="O8" s="31">
        <v>2.6200000000000001E-2</v>
      </c>
      <c r="P8" s="31">
        <v>4.7000000000000002E-3</v>
      </c>
      <c r="Q8" s="31">
        <v>0</v>
      </c>
      <c r="R8" s="31">
        <v>2.4799999999999999E-2</v>
      </c>
      <c r="S8" s="93">
        <v>16.5</v>
      </c>
      <c r="T8" s="57">
        <v>381</v>
      </c>
      <c r="U8" s="57">
        <v>147</v>
      </c>
      <c r="V8" s="31">
        <v>1.0699999999999999E-2</v>
      </c>
    </row>
    <row r="9" spans="1:22" x14ac:dyDescent="0.2">
      <c r="A9" s="107" t="s">
        <v>299</v>
      </c>
      <c r="B9" s="33">
        <v>505967</v>
      </c>
      <c r="C9" s="22">
        <v>45932</v>
      </c>
      <c r="D9" s="1" t="s">
        <v>266</v>
      </c>
      <c r="E9" s="1" t="s">
        <v>248</v>
      </c>
      <c r="F9" s="1" t="s">
        <v>250</v>
      </c>
      <c r="G9" s="31">
        <v>2.1600000000000001E-2</v>
      </c>
      <c r="H9" s="31">
        <v>0</v>
      </c>
      <c r="I9" s="57">
        <v>304</v>
      </c>
      <c r="J9" s="31">
        <v>7.8600000000000003E-2</v>
      </c>
      <c r="K9" s="31">
        <v>3.6700000000000003E-2</v>
      </c>
      <c r="L9" s="31">
        <v>1.6199999999999999E-2</v>
      </c>
      <c r="M9" s="31">
        <v>3.0000000000000001E-3</v>
      </c>
      <c r="N9" s="31">
        <v>0</v>
      </c>
      <c r="O9" s="31">
        <v>2.9499999999999998E-2</v>
      </c>
      <c r="P9" s="31">
        <v>7.4999999999999997E-3</v>
      </c>
      <c r="Q9" s="31">
        <v>0</v>
      </c>
      <c r="R9" s="31">
        <v>2.6599999999999999E-2</v>
      </c>
      <c r="S9" s="93">
        <v>18.5</v>
      </c>
      <c r="T9" s="57">
        <v>375</v>
      </c>
      <c r="U9" s="57">
        <v>147</v>
      </c>
      <c r="V9" s="31">
        <v>1.0500000000000001E-2</v>
      </c>
    </row>
    <row r="10" spans="1:22" x14ac:dyDescent="0.2">
      <c r="A10" s="108" t="s">
        <v>300</v>
      </c>
      <c r="B10" s="33">
        <v>507292</v>
      </c>
      <c r="C10" s="22">
        <v>45944</v>
      </c>
      <c r="D10" s="1" t="s">
        <v>266</v>
      </c>
      <c r="E10" s="1" t="s">
        <v>248</v>
      </c>
      <c r="F10" s="1" t="s">
        <v>250</v>
      </c>
      <c r="G10" s="31">
        <v>2.3300000000000001E-2</v>
      </c>
      <c r="H10" s="31">
        <v>0</v>
      </c>
      <c r="I10" s="57">
        <v>237</v>
      </c>
      <c r="J10" s="31">
        <v>5.2600000000000001E-2</v>
      </c>
      <c r="K10" s="31">
        <v>3.6499999999999998E-2</v>
      </c>
      <c r="L10" s="31">
        <v>1.52E-2</v>
      </c>
      <c r="M10" s="31">
        <v>3.3E-3</v>
      </c>
      <c r="N10" s="31">
        <v>0</v>
      </c>
      <c r="O10" s="31">
        <v>5.62E-2</v>
      </c>
      <c r="P10" s="31">
        <v>9.4999999999999998E-3</v>
      </c>
      <c r="Q10" s="31">
        <v>0</v>
      </c>
      <c r="R10" s="31">
        <v>2.2499999999999999E-2</v>
      </c>
      <c r="S10" s="93">
        <v>16.5</v>
      </c>
      <c r="T10" s="57">
        <v>350</v>
      </c>
      <c r="U10" s="57">
        <v>145</v>
      </c>
      <c r="V10" s="31">
        <v>1.0699999999999999E-2</v>
      </c>
    </row>
    <row r="11" spans="1:22" x14ac:dyDescent="0.2">
      <c r="A11" s="107" t="s">
        <v>299</v>
      </c>
      <c r="B11" s="33">
        <v>509471</v>
      </c>
      <c r="C11" s="22">
        <v>45965</v>
      </c>
      <c r="D11" s="1" t="s">
        <v>266</v>
      </c>
      <c r="E11" s="1" t="s">
        <v>248</v>
      </c>
      <c r="F11" s="1" t="s">
        <v>250</v>
      </c>
      <c r="G11" s="31">
        <v>2.2499999999999999E-2</v>
      </c>
      <c r="H11" s="31">
        <v>0</v>
      </c>
      <c r="I11" s="34">
        <v>305</v>
      </c>
      <c r="J11" s="31">
        <v>6.7199999999999996E-2</v>
      </c>
      <c r="K11" s="31">
        <v>3.9100000000000003E-2</v>
      </c>
      <c r="L11" s="31">
        <v>1.2999999999999999E-2</v>
      </c>
      <c r="M11" s="31">
        <v>7.6E-3</v>
      </c>
      <c r="N11" s="31">
        <v>0</v>
      </c>
      <c r="O11" s="31">
        <v>5.33E-2</v>
      </c>
      <c r="P11" s="31">
        <v>9.1000000000000004E-3</v>
      </c>
      <c r="Q11" s="31">
        <v>0</v>
      </c>
      <c r="R11" s="31">
        <v>1.2E-2</v>
      </c>
      <c r="S11" s="93">
        <v>16.5</v>
      </c>
      <c r="T11" s="57">
        <v>390</v>
      </c>
      <c r="U11" s="57">
        <v>145</v>
      </c>
      <c r="V11" s="31">
        <v>1.0200000000000001E-2</v>
      </c>
    </row>
    <row r="12" spans="1:22" x14ac:dyDescent="0.2">
      <c r="A12" s="107" t="s">
        <v>299</v>
      </c>
      <c r="B12" s="33">
        <v>509471</v>
      </c>
      <c r="C12" s="22">
        <v>45966</v>
      </c>
      <c r="D12" s="1" t="s">
        <v>266</v>
      </c>
      <c r="E12" s="1" t="s">
        <v>248</v>
      </c>
      <c r="F12" s="1" t="s">
        <v>250</v>
      </c>
      <c r="G12" s="31">
        <v>2.46E-2</v>
      </c>
      <c r="H12" s="31">
        <v>0</v>
      </c>
      <c r="I12" s="34">
        <v>304</v>
      </c>
      <c r="J12" s="31">
        <v>6.5799999999999997E-2</v>
      </c>
      <c r="K12" s="31">
        <v>3.7600000000000001E-2</v>
      </c>
      <c r="L12" s="31">
        <v>1.66E-2</v>
      </c>
      <c r="M12" s="31">
        <v>4.4000000000000003E-3</v>
      </c>
      <c r="N12" s="31">
        <v>0</v>
      </c>
      <c r="O12" s="31">
        <v>3.1E-2</v>
      </c>
      <c r="P12" s="31">
        <v>8.0000000000000002E-3</v>
      </c>
      <c r="Q12" s="31">
        <v>0</v>
      </c>
      <c r="R12" s="31">
        <v>2.5999999999999999E-2</v>
      </c>
      <c r="S12" s="93">
        <v>16.5</v>
      </c>
      <c r="T12" s="57">
        <v>376</v>
      </c>
      <c r="U12" s="57">
        <v>145</v>
      </c>
      <c r="V12" s="31">
        <v>1.0800000000000001E-2</v>
      </c>
    </row>
    <row r="13" spans="1:22" x14ac:dyDescent="0.2">
      <c r="A13" s="108" t="s">
        <v>300</v>
      </c>
      <c r="B13" s="33">
        <v>512893</v>
      </c>
      <c r="C13" s="22">
        <v>45982</v>
      </c>
      <c r="D13" s="1" t="s">
        <v>266</v>
      </c>
      <c r="E13" s="1" t="s">
        <v>248</v>
      </c>
      <c r="F13" s="1" t="s">
        <v>250</v>
      </c>
      <c r="G13" s="31">
        <v>2.1499999999999998E-2</v>
      </c>
      <c r="H13" s="31">
        <v>0</v>
      </c>
      <c r="I13" s="57">
        <v>238</v>
      </c>
      <c r="J13" s="31">
        <v>3.27E-2</v>
      </c>
      <c r="K13" s="31">
        <v>3.4599999999999999E-2</v>
      </c>
      <c r="L13" s="31">
        <v>1.32E-2</v>
      </c>
      <c r="M13" s="31">
        <v>5.1000000000000004E-3</v>
      </c>
      <c r="N13" s="31">
        <v>0</v>
      </c>
      <c r="O13" s="31">
        <v>4.3499999999999997E-2</v>
      </c>
      <c r="P13" s="31">
        <v>0</v>
      </c>
      <c r="Q13" s="31">
        <v>0</v>
      </c>
      <c r="R13" s="31">
        <v>1.7500000000000002E-2</v>
      </c>
      <c r="S13" s="93">
        <v>17</v>
      </c>
      <c r="T13" s="57">
        <v>323</v>
      </c>
      <c r="U13" s="57">
        <v>144</v>
      </c>
      <c r="V13" s="31">
        <v>1.0699999999999999E-2</v>
      </c>
    </row>
    <row r="14" spans="1:22" x14ac:dyDescent="0.2">
      <c r="A14" s="107" t="s">
        <v>299</v>
      </c>
      <c r="B14" s="33">
        <v>513018</v>
      </c>
      <c r="C14" s="22">
        <v>45983</v>
      </c>
      <c r="D14" s="1" t="s">
        <v>266</v>
      </c>
      <c r="E14" s="1" t="s">
        <v>248</v>
      </c>
      <c r="F14" s="1" t="s">
        <v>250</v>
      </c>
      <c r="G14" s="31">
        <v>2.1899999999999999E-2</v>
      </c>
      <c r="H14" s="31">
        <v>0</v>
      </c>
      <c r="I14" s="57">
        <v>296</v>
      </c>
      <c r="J14" s="31">
        <v>5.3100000000000001E-2</v>
      </c>
      <c r="K14" s="31">
        <v>2.3099999999999999E-2</v>
      </c>
      <c r="L14" s="31">
        <v>1.2999999999999999E-2</v>
      </c>
      <c r="M14" s="31">
        <v>4.3E-3</v>
      </c>
      <c r="N14" s="31">
        <v>0</v>
      </c>
      <c r="O14" s="31">
        <v>3.5400000000000001E-2</v>
      </c>
      <c r="P14" s="31">
        <v>9.1999999999999998E-3</v>
      </c>
      <c r="Q14" s="31">
        <v>0</v>
      </c>
      <c r="R14" s="31">
        <v>1.8100000000000002E-2</v>
      </c>
      <c r="S14" s="93">
        <v>17.5</v>
      </c>
      <c r="T14" s="57">
        <v>351</v>
      </c>
      <c r="U14" s="57">
        <v>145</v>
      </c>
      <c r="V14" s="31">
        <v>1.0500000000000001E-2</v>
      </c>
    </row>
    <row r="15" spans="1:22" x14ac:dyDescent="0.2">
      <c r="A15" s="107" t="s">
        <v>299</v>
      </c>
      <c r="B15" s="33">
        <v>513018</v>
      </c>
      <c r="C15" s="22">
        <v>45985</v>
      </c>
      <c r="D15" s="1" t="s">
        <v>266</v>
      </c>
      <c r="E15" s="1" t="s">
        <v>248</v>
      </c>
      <c r="F15" s="1" t="s">
        <v>250</v>
      </c>
      <c r="G15" s="31">
        <v>2.18E-2</v>
      </c>
      <c r="H15" s="31">
        <v>0</v>
      </c>
      <c r="I15" s="57">
        <v>298</v>
      </c>
      <c r="J15" s="31">
        <v>5.2999999999999999E-2</v>
      </c>
      <c r="K15" s="31">
        <v>3.1E-2</v>
      </c>
      <c r="L15" s="31">
        <v>1.6899999999999998E-2</v>
      </c>
      <c r="M15" s="31">
        <v>3.5999999999999999E-3</v>
      </c>
      <c r="N15" s="31">
        <v>0</v>
      </c>
      <c r="O15" s="31">
        <v>2.64E-2</v>
      </c>
      <c r="P15" s="31">
        <v>8.0000000000000002E-3</v>
      </c>
      <c r="Q15" s="31">
        <v>0</v>
      </c>
      <c r="R15" s="31">
        <v>1.8499999999999999E-2</v>
      </c>
      <c r="S15" s="93">
        <v>18.25</v>
      </c>
      <c r="T15" s="57">
        <v>343</v>
      </c>
      <c r="U15" s="57">
        <v>145</v>
      </c>
      <c r="V15" s="31">
        <v>1.0699999999999999E-2</v>
      </c>
    </row>
    <row r="16" spans="1:22" x14ac:dyDescent="0.2">
      <c r="A16" s="108"/>
      <c r="B16" s="33"/>
      <c r="C16" s="22"/>
      <c r="D16" s="1"/>
      <c r="E16" s="1"/>
      <c r="F16" s="1"/>
      <c r="G16" s="31"/>
      <c r="H16" s="31"/>
      <c r="I16" s="57"/>
      <c r="J16" s="31"/>
      <c r="K16" s="31"/>
      <c r="L16" s="31"/>
      <c r="M16" s="31"/>
      <c r="N16" s="31"/>
      <c r="O16" s="31"/>
      <c r="P16" s="31"/>
      <c r="Q16" s="31"/>
      <c r="R16" s="31"/>
      <c r="S16" s="93"/>
      <c r="T16" s="57"/>
      <c r="U16" s="57"/>
      <c r="V16" s="31"/>
    </row>
    <row r="17" spans="1:22" x14ac:dyDescent="0.2">
      <c r="A17" s="108"/>
      <c r="B17" s="33"/>
      <c r="C17" s="22"/>
      <c r="D17" s="1"/>
      <c r="E17" s="1"/>
      <c r="F17" s="1"/>
      <c r="G17" s="31"/>
      <c r="H17" s="31"/>
      <c r="I17" s="57"/>
      <c r="J17" s="31"/>
      <c r="K17" s="31"/>
      <c r="L17" s="31"/>
      <c r="M17" s="31"/>
      <c r="N17" s="31"/>
      <c r="O17" s="31"/>
      <c r="P17" s="31"/>
      <c r="Q17" s="31"/>
      <c r="R17" s="31"/>
      <c r="S17" s="93"/>
      <c r="T17" s="57"/>
      <c r="U17" s="57"/>
      <c r="V17" s="31"/>
    </row>
    <row r="18" spans="1:22" x14ac:dyDescent="0.2">
      <c r="A18" s="108"/>
      <c r="B18" s="33"/>
      <c r="C18" s="22"/>
      <c r="D18" s="1"/>
      <c r="E18" s="1"/>
      <c r="F18" s="1"/>
      <c r="G18" s="31"/>
      <c r="H18" s="31"/>
      <c r="I18" s="57"/>
      <c r="J18" s="31"/>
      <c r="K18" s="31"/>
      <c r="L18" s="31"/>
      <c r="M18" s="31"/>
      <c r="N18" s="31"/>
      <c r="O18" s="31"/>
      <c r="P18" s="31"/>
      <c r="Q18" s="31"/>
      <c r="R18" s="31"/>
      <c r="S18" s="93"/>
      <c r="T18" s="57"/>
      <c r="U18" s="57"/>
      <c r="V18" s="31"/>
    </row>
    <row r="19" spans="1:22" x14ac:dyDescent="0.2">
      <c r="A19" s="108"/>
      <c r="B19" s="33"/>
      <c r="C19" s="22"/>
      <c r="D19" s="1"/>
      <c r="E19" s="1"/>
      <c r="F19" s="1"/>
      <c r="G19" s="31"/>
      <c r="H19" s="31"/>
      <c r="I19" s="57"/>
      <c r="J19" s="31"/>
      <c r="K19" s="31"/>
      <c r="L19" s="31"/>
      <c r="M19" s="31"/>
      <c r="N19" s="31"/>
      <c r="O19" s="31"/>
      <c r="P19" s="31"/>
      <c r="Q19" s="31"/>
      <c r="R19" s="31"/>
      <c r="S19" s="93"/>
      <c r="T19" s="57"/>
      <c r="U19" s="57"/>
      <c r="V19" s="31"/>
    </row>
    <row r="20" spans="1:22" x14ac:dyDescent="0.2">
      <c r="A20" s="108"/>
      <c r="B20" s="33"/>
      <c r="C20" s="22"/>
      <c r="D20" s="1"/>
      <c r="E20" s="1"/>
      <c r="F20" s="1"/>
      <c r="G20" s="31"/>
      <c r="H20" s="31"/>
      <c r="I20" s="57"/>
      <c r="J20" s="31"/>
      <c r="K20" s="31"/>
      <c r="L20" s="31"/>
      <c r="M20" s="31"/>
      <c r="N20" s="31"/>
      <c r="O20" s="31"/>
      <c r="P20" s="31"/>
      <c r="Q20" s="31"/>
      <c r="R20" s="31"/>
      <c r="S20" s="93"/>
      <c r="T20" s="57"/>
      <c r="U20" s="57"/>
      <c r="V20" s="31"/>
    </row>
    <row r="21" spans="1:22" x14ac:dyDescent="0.2">
      <c r="A21" s="108"/>
      <c r="B21" s="33"/>
      <c r="C21" s="22"/>
      <c r="D21" s="1"/>
      <c r="E21" s="1"/>
      <c r="F21" s="1"/>
      <c r="G21" s="31"/>
      <c r="H21" s="31"/>
      <c r="I21" s="57"/>
      <c r="J21" s="31"/>
      <c r="K21" s="31"/>
      <c r="L21" s="31"/>
      <c r="M21" s="31"/>
      <c r="N21" s="31"/>
      <c r="O21" s="31"/>
      <c r="P21" s="31"/>
      <c r="Q21" s="31"/>
      <c r="R21" s="31"/>
      <c r="S21" s="93"/>
      <c r="T21" s="57"/>
      <c r="U21" s="57"/>
      <c r="V21" s="31"/>
    </row>
    <row r="22" spans="1:22" x14ac:dyDescent="0.2">
      <c r="A22" s="108"/>
      <c r="B22" s="33"/>
      <c r="C22" s="22"/>
      <c r="D22" s="1"/>
      <c r="E22" s="1"/>
      <c r="F22" s="1"/>
      <c r="G22" s="31"/>
      <c r="H22" s="31"/>
      <c r="I22" s="57"/>
      <c r="J22" s="31"/>
      <c r="K22" s="31"/>
      <c r="L22" s="31"/>
      <c r="M22" s="31"/>
      <c r="N22" s="31"/>
      <c r="O22" s="31"/>
      <c r="P22" s="31"/>
      <c r="Q22" s="31"/>
      <c r="R22" s="31"/>
      <c r="S22" s="93"/>
      <c r="T22" s="57"/>
      <c r="U22" s="57"/>
      <c r="V22" s="31"/>
    </row>
    <row r="23" spans="1:22" x14ac:dyDescent="0.2">
      <c r="A23" s="108"/>
      <c r="B23" s="33"/>
      <c r="C23" s="22"/>
      <c r="D23" s="1"/>
      <c r="E23" s="1"/>
      <c r="F23" s="1"/>
      <c r="G23" s="31"/>
      <c r="H23" s="31"/>
      <c r="I23" s="57"/>
      <c r="J23" s="31"/>
      <c r="K23" s="31"/>
      <c r="L23" s="31"/>
      <c r="M23" s="31"/>
      <c r="N23" s="31"/>
      <c r="O23" s="31"/>
      <c r="P23" s="31"/>
      <c r="Q23" s="31"/>
      <c r="R23" s="31"/>
      <c r="S23" s="93"/>
      <c r="T23" s="57"/>
      <c r="U23" s="57"/>
      <c r="V23" s="31"/>
    </row>
    <row r="24" spans="1:22" x14ac:dyDescent="0.2">
      <c r="A24" s="108"/>
      <c r="B24" s="33"/>
      <c r="C24" s="22"/>
      <c r="D24" s="1"/>
      <c r="E24" s="1"/>
      <c r="F24" s="1"/>
      <c r="G24" s="31"/>
      <c r="H24" s="31"/>
      <c r="I24" s="57"/>
      <c r="J24" s="31"/>
      <c r="K24" s="31"/>
      <c r="L24" s="31"/>
      <c r="M24" s="31"/>
      <c r="N24" s="31"/>
      <c r="O24" s="31"/>
      <c r="P24" s="31"/>
      <c r="Q24" s="31"/>
      <c r="R24" s="31"/>
      <c r="S24" s="93"/>
      <c r="T24" s="57"/>
      <c r="U24" s="57"/>
      <c r="V24" s="31"/>
    </row>
    <row r="25" spans="1:22" x14ac:dyDescent="0.2">
      <c r="A25" s="108"/>
      <c r="B25" s="33"/>
      <c r="C25" s="22"/>
      <c r="D25" s="1"/>
      <c r="E25" s="1"/>
      <c r="F25" s="1"/>
      <c r="G25" s="31"/>
      <c r="H25" s="31"/>
      <c r="I25" s="57"/>
      <c r="J25" s="31"/>
      <c r="K25" s="31"/>
      <c r="L25" s="31"/>
      <c r="M25" s="31"/>
      <c r="N25" s="31"/>
      <c r="O25" s="31"/>
      <c r="P25" s="31"/>
      <c r="Q25" s="31"/>
      <c r="R25" s="31"/>
      <c r="S25" s="93"/>
      <c r="T25" s="57"/>
      <c r="U25" s="57"/>
      <c r="V25" s="31"/>
    </row>
    <row r="26" spans="1:22" x14ac:dyDescent="0.2">
      <c r="A26" s="108"/>
      <c r="B26" s="33"/>
      <c r="C26" s="22"/>
      <c r="D26" s="1"/>
      <c r="E26" s="1"/>
      <c r="F26" s="1"/>
      <c r="G26" s="31"/>
      <c r="H26" s="31"/>
      <c r="I26" s="57"/>
      <c r="J26" s="31"/>
      <c r="K26" s="31"/>
      <c r="L26" s="31"/>
      <c r="M26" s="31"/>
      <c r="N26" s="31"/>
      <c r="O26" s="31"/>
      <c r="P26" s="31"/>
      <c r="Q26" s="31"/>
      <c r="R26" s="31"/>
      <c r="S26" s="93"/>
      <c r="T26" s="57"/>
      <c r="U26" s="57"/>
      <c r="V26" s="31"/>
    </row>
    <row r="27" spans="1:22" x14ac:dyDescent="0.2">
      <c r="A27" s="108"/>
      <c r="B27" s="33"/>
      <c r="C27" s="22"/>
      <c r="D27" s="1"/>
      <c r="E27" s="1"/>
      <c r="F27" s="1"/>
      <c r="G27" s="31"/>
      <c r="H27" s="31"/>
      <c r="I27" s="57"/>
      <c r="J27" s="31"/>
      <c r="K27" s="31"/>
      <c r="L27" s="31"/>
      <c r="M27" s="31"/>
      <c r="N27" s="31"/>
      <c r="O27" s="31"/>
      <c r="P27" s="31"/>
      <c r="Q27" s="31"/>
      <c r="R27" s="31"/>
      <c r="S27" s="93"/>
      <c r="T27" s="57"/>
      <c r="U27" s="57"/>
      <c r="V27" s="31"/>
    </row>
    <row r="28" spans="1:22" x14ac:dyDescent="0.2">
      <c r="A28" s="108"/>
      <c r="B28" s="33"/>
      <c r="C28" s="22"/>
      <c r="D28" s="1"/>
      <c r="E28" s="1"/>
      <c r="F28" s="1"/>
      <c r="G28" s="31"/>
      <c r="H28" s="31"/>
      <c r="I28" s="57"/>
      <c r="J28" s="31"/>
      <c r="K28" s="31"/>
      <c r="L28" s="31"/>
      <c r="M28" s="31"/>
      <c r="N28" s="31"/>
      <c r="O28" s="31"/>
      <c r="P28" s="31"/>
      <c r="Q28" s="31"/>
      <c r="R28" s="31"/>
      <c r="S28" s="93"/>
      <c r="T28" s="57"/>
      <c r="U28" s="57"/>
      <c r="V28" s="31"/>
    </row>
    <row r="29" spans="1:22" x14ac:dyDescent="0.2">
      <c r="A29" s="108"/>
      <c r="B29" s="33"/>
      <c r="C29" s="22"/>
      <c r="D29" s="1"/>
      <c r="E29" s="1"/>
      <c r="F29" s="1"/>
      <c r="G29" s="31"/>
      <c r="H29" s="31"/>
      <c r="I29" s="57"/>
      <c r="J29" s="31"/>
      <c r="K29" s="31"/>
      <c r="L29" s="31"/>
      <c r="M29" s="31"/>
      <c r="N29" s="31"/>
      <c r="O29" s="31"/>
      <c r="P29" s="31"/>
      <c r="Q29" s="31"/>
      <c r="R29" s="31"/>
      <c r="S29" s="93"/>
      <c r="T29" s="57"/>
      <c r="U29" s="57"/>
      <c r="V29" s="31"/>
    </row>
    <row r="30" spans="1:22" x14ac:dyDescent="0.2">
      <c r="A30" s="108"/>
      <c r="B30" s="33"/>
      <c r="C30" s="22"/>
      <c r="D30" s="1"/>
      <c r="E30" s="1"/>
      <c r="F30" s="1"/>
      <c r="G30" s="61"/>
      <c r="H30" s="31"/>
      <c r="I30" s="34"/>
      <c r="J30" s="31"/>
      <c r="K30" s="31"/>
      <c r="L30" s="61"/>
      <c r="M30" s="31"/>
      <c r="N30" s="61"/>
      <c r="O30" s="31"/>
      <c r="P30" s="31"/>
      <c r="Q30" s="31"/>
      <c r="R30" s="31"/>
      <c r="S30" s="93"/>
      <c r="T30" s="57"/>
      <c r="U30" s="57"/>
      <c r="V30" s="31"/>
    </row>
    <row r="31" spans="1:22" x14ac:dyDescent="0.2">
      <c r="A31" s="108"/>
      <c r="B31" s="33"/>
      <c r="C31" s="22"/>
      <c r="D31" s="1"/>
      <c r="E31" s="1"/>
      <c r="F31" s="1"/>
      <c r="G31" s="61"/>
      <c r="H31" s="31"/>
      <c r="I31" s="34"/>
      <c r="J31" s="31"/>
      <c r="K31" s="31"/>
      <c r="L31" s="61"/>
      <c r="M31" s="31"/>
      <c r="N31" s="61"/>
      <c r="O31" s="31"/>
      <c r="P31" s="31"/>
      <c r="Q31" s="31"/>
      <c r="R31" s="31"/>
      <c r="S31" s="93"/>
      <c r="T31" s="57"/>
      <c r="U31" s="57"/>
      <c r="V31" s="31"/>
    </row>
    <row r="32" spans="1:22" x14ac:dyDescent="0.2">
      <c r="A32" s="108"/>
      <c r="B32" s="33"/>
      <c r="C32" s="22"/>
      <c r="D32" s="1"/>
      <c r="E32" s="1"/>
      <c r="F32" s="1"/>
      <c r="G32" s="61"/>
      <c r="H32" s="31"/>
      <c r="I32" s="34"/>
      <c r="J32" s="31"/>
      <c r="K32" s="31"/>
      <c r="L32" s="61"/>
      <c r="M32" s="31"/>
      <c r="N32" s="61"/>
      <c r="O32" s="31"/>
      <c r="P32" s="31"/>
      <c r="Q32" s="31"/>
      <c r="R32" s="31"/>
      <c r="S32" s="93"/>
      <c r="T32" s="57"/>
      <c r="U32" s="57"/>
      <c r="V32" s="31"/>
    </row>
    <row r="33" spans="1:22" x14ac:dyDescent="0.2">
      <c r="A33" s="108"/>
      <c r="B33" s="33"/>
      <c r="C33" s="22"/>
      <c r="D33" s="1"/>
      <c r="E33" s="1"/>
      <c r="F33" s="1"/>
      <c r="G33" s="61"/>
      <c r="H33" s="31"/>
      <c r="I33" s="34"/>
      <c r="J33" s="31"/>
      <c r="K33" s="31"/>
      <c r="L33" s="61"/>
      <c r="M33" s="31"/>
      <c r="N33" s="61"/>
      <c r="O33" s="31"/>
      <c r="P33" s="31"/>
      <c r="Q33" s="31"/>
      <c r="R33" s="31"/>
      <c r="S33" s="93"/>
      <c r="T33" s="57"/>
      <c r="U33" s="57"/>
      <c r="V33" s="31"/>
    </row>
    <row r="34" spans="1:22" x14ac:dyDescent="0.2">
      <c r="A34" s="108"/>
      <c r="B34" s="33"/>
      <c r="C34" s="22"/>
      <c r="D34" s="1"/>
      <c r="E34" s="1"/>
      <c r="F34" s="1"/>
      <c r="G34" s="61"/>
      <c r="H34" s="31"/>
      <c r="I34" s="34"/>
      <c r="J34" s="31"/>
      <c r="K34" s="31"/>
      <c r="L34" s="61"/>
      <c r="M34" s="31"/>
      <c r="N34" s="61"/>
      <c r="O34" s="31"/>
      <c r="P34" s="31"/>
      <c r="Q34" s="31"/>
      <c r="R34" s="31"/>
      <c r="S34" s="93"/>
      <c r="T34" s="57"/>
      <c r="U34" s="57"/>
      <c r="V34" s="31"/>
    </row>
    <row r="35" spans="1:22" x14ac:dyDescent="0.2">
      <c r="A35" s="108"/>
      <c r="B35" s="33"/>
      <c r="C35" s="22"/>
      <c r="D35" s="1"/>
      <c r="E35" s="1"/>
      <c r="F35" s="1"/>
      <c r="G35" s="61"/>
      <c r="H35" s="31"/>
      <c r="I35" s="34"/>
      <c r="J35" s="31"/>
      <c r="K35" s="31"/>
      <c r="L35" s="61"/>
      <c r="M35" s="31"/>
      <c r="N35" s="61"/>
      <c r="O35" s="31"/>
      <c r="P35" s="31"/>
      <c r="Q35" s="31"/>
      <c r="R35" s="31"/>
      <c r="S35" s="93"/>
      <c r="T35" s="57"/>
      <c r="U35" s="57"/>
      <c r="V35" s="31"/>
    </row>
    <row r="36" spans="1:22" x14ac:dyDescent="0.2">
      <c r="A36" s="108"/>
      <c r="B36" s="33"/>
      <c r="C36" s="22"/>
      <c r="D36" s="1"/>
      <c r="E36" s="1"/>
      <c r="F36" s="1"/>
      <c r="G36" s="61"/>
      <c r="H36" s="31"/>
      <c r="I36" s="34"/>
      <c r="J36" s="31"/>
      <c r="K36" s="31"/>
      <c r="L36" s="61"/>
      <c r="M36" s="31"/>
      <c r="N36" s="61"/>
      <c r="O36" s="31"/>
      <c r="P36" s="31"/>
      <c r="Q36" s="31"/>
      <c r="R36" s="31"/>
      <c r="S36" s="93"/>
      <c r="T36" s="57"/>
      <c r="U36" s="57"/>
      <c r="V36" s="31"/>
    </row>
    <row r="37" spans="1:22" x14ac:dyDescent="0.2">
      <c r="A37" s="108"/>
      <c r="B37" s="33"/>
      <c r="C37" s="22"/>
      <c r="D37" s="1"/>
      <c r="E37" s="1"/>
      <c r="F37" s="1"/>
      <c r="G37" s="61"/>
      <c r="H37" s="31"/>
      <c r="I37" s="34"/>
      <c r="J37" s="31"/>
      <c r="K37" s="31"/>
      <c r="L37" s="61"/>
      <c r="M37" s="31"/>
      <c r="N37" s="61"/>
      <c r="O37" s="31"/>
      <c r="P37" s="31"/>
      <c r="Q37" s="31"/>
      <c r="R37" s="31"/>
      <c r="S37" s="93"/>
      <c r="T37" s="57"/>
      <c r="U37" s="57"/>
      <c r="V37" s="31"/>
    </row>
    <row r="38" spans="1:22" x14ac:dyDescent="0.2">
      <c r="A38" s="108"/>
      <c r="B38" s="33"/>
      <c r="C38" s="22"/>
      <c r="D38" s="1"/>
      <c r="E38" s="1"/>
      <c r="F38" s="1"/>
      <c r="G38" s="61"/>
      <c r="H38" s="31"/>
      <c r="I38" s="34"/>
      <c r="J38" s="31"/>
      <c r="K38" s="31"/>
      <c r="L38" s="61"/>
      <c r="M38" s="31"/>
      <c r="N38" s="61"/>
      <c r="O38" s="31"/>
      <c r="P38" s="31"/>
      <c r="Q38" s="31"/>
      <c r="R38" s="31"/>
      <c r="S38" s="93"/>
      <c r="T38" s="57"/>
      <c r="U38" s="57"/>
      <c r="V38" s="31"/>
    </row>
    <row r="39" spans="1:22" x14ac:dyDescent="0.2">
      <c r="A39" s="108"/>
      <c r="B39" s="33"/>
      <c r="C39" s="22"/>
      <c r="D39" s="1"/>
      <c r="E39" s="1"/>
      <c r="F39" s="1"/>
      <c r="G39" s="61"/>
      <c r="H39" s="31"/>
      <c r="I39" s="34"/>
      <c r="J39" s="31"/>
      <c r="K39" s="31"/>
      <c r="L39" s="61"/>
      <c r="M39" s="31"/>
      <c r="N39" s="61"/>
      <c r="O39" s="31"/>
      <c r="P39" s="31"/>
      <c r="Q39" s="31"/>
      <c r="R39" s="31"/>
      <c r="S39" s="93"/>
      <c r="T39" s="57"/>
      <c r="U39" s="57"/>
      <c r="V39" s="31"/>
    </row>
    <row r="40" spans="1:22" x14ac:dyDescent="0.2">
      <c r="A40" s="108"/>
      <c r="B40" s="33"/>
      <c r="C40" s="22"/>
      <c r="D40" s="1"/>
      <c r="E40" s="1"/>
      <c r="F40" s="1"/>
      <c r="G40" s="61"/>
      <c r="H40" s="31"/>
      <c r="I40" s="34"/>
      <c r="J40" s="31"/>
      <c r="K40" s="31"/>
      <c r="L40" s="61"/>
      <c r="M40" s="31"/>
      <c r="N40" s="61"/>
      <c r="O40" s="31"/>
      <c r="P40" s="31"/>
      <c r="Q40" s="31"/>
      <c r="R40" s="31"/>
      <c r="S40" s="93"/>
      <c r="T40" s="57"/>
      <c r="U40" s="57"/>
      <c r="V40" s="31"/>
    </row>
    <row r="41" spans="1:22" x14ac:dyDescent="0.2">
      <c r="A41" s="108"/>
      <c r="B41" s="33"/>
      <c r="C41" s="22"/>
      <c r="D41" s="1"/>
      <c r="E41" s="1"/>
      <c r="F41" s="1"/>
      <c r="G41" s="61"/>
      <c r="H41" s="31"/>
      <c r="I41" s="1"/>
      <c r="J41" s="31"/>
      <c r="K41" s="31"/>
      <c r="L41" s="61"/>
      <c r="M41" s="31"/>
      <c r="N41" s="61"/>
      <c r="O41" s="31"/>
      <c r="P41" s="31"/>
      <c r="Q41" s="31"/>
      <c r="R41" s="31"/>
      <c r="S41" s="93"/>
      <c r="T41" s="57"/>
      <c r="U41" s="57"/>
      <c r="V41" s="31"/>
    </row>
    <row r="42" spans="1:22" x14ac:dyDescent="0.2">
      <c r="A42" s="108"/>
      <c r="B42" s="33"/>
      <c r="C42" s="22"/>
      <c r="D42" s="1"/>
      <c r="E42" s="1"/>
      <c r="F42" s="1"/>
      <c r="G42" s="61"/>
      <c r="H42" s="31"/>
      <c r="I42" s="34"/>
      <c r="J42" s="31"/>
      <c r="K42" s="31"/>
      <c r="L42" s="61"/>
      <c r="M42" s="31"/>
      <c r="N42" s="61"/>
      <c r="O42" s="31"/>
      <c r="P42" s="31"/>
      <c r="Q42" s="31"/>
      <c r="R42" s="31"/>
      <c r="S42" s="93"/>
      <c r="T42" s="57"/>
      <c r="U42" s="57"/>
      <c r="V42" s="31"/>
    </row>
    <row r="43" spans="1:22" x14ac:dyDescent="0.2">
      <c r="A43" s="108"/>
      <c r="B43" s="33"/>
      <c r="C43" s="22"/>
      <c r="D43" s="1"/>
      <c r="E43" s="1"/>
      <c r="F43" s="1"/>
      <c r="G43" s="61"/>
      <c r="H43" s="31"/>
      <c r="I43" s="34"/>
      <c r="J43" s="31"/>
      <c r="K43" s="31"/>
      <c r="L43" s="61"/>
      <c r="M43" s="31"/>
      <c r="N43" s="61"/>
      <c r="O43" s="31"/>
      <c r="P43" s="31"/>
      <c r="Q43" s="31"/>
      <c r="R43" s="31"/>
      <c r="S43" s="93"/>
      <c r="T43" s="57"/>
      <c r="U43" s="57"/>
      <c r="V43" s="31"/>
    </row>
    <row r="44" spans="1:22" x14ac:dyDescent="0.2">
      <c r="A44" s="108"/>
      <c r="B44" s="33"/>
      <c r="C44" s="22"/>
      <c r="D44" s="1"/>
      <c r="E44" s="1"/>
      <c r="F44" s="1"/>
      <c r="G44" s="61"/>
      <c r="H44" s="31"/>
      <c r="I44" s="34"/>
      <c r="J44" s="31"/>
      <c r="K44" s="31"/>
      <c r="L44" s="61"/>
      <c r="M44" s="31"/>
      <c r="N44" s="61"/>
      <c r="O44" s="31"/>
      <c r="P44" s="31"/>
      <c r="Q44" s="31"/>
      <c r="R44" s="31"/>
      <c r="S44" s="93"/>
      <c r="T44" s="57"/>
      <c r="U44" s="57"/>
      <c r="V44" s="31"/>
    </row>
    <row r="45" spans="1:22" x14ac:dyDescent="0.2">
      <c r="A45" s="108"/>
      <c r="B45" s="33"/>
      <c r="C45" s="22"/>
      <c r="D45" s="1"/>
      <c r="E45" s="1"/>
      <c r="F45" s="1"/>
      <c r="G45" s="61"/>
      <c r="H45" s="31"/>
      <c r="I45" s="34"/>
      <c r="J45" s="31"/>
      <c r="K45" s="31"/>
      <c r="L45" s="61"/>
      <c r="M45" s="31"/>
      <c r="N45" s="61"/>
      <c r="O45" s="31"/>
      <c r="P45" s="31"/>
      <c r="Q45" s="31"/>
      <c r="R45" s="31"/>
      <c r="S45" s="93"/>
      <c r="T45" s="57"/>
      <c r="U45" s="57"/>
      <c r="V45" s="31"/>
    </row>
    <row r="46" spans="1:22" x14ac:dyDescent="0.2">
      <c r="A46" s="108"/>
      <c r="B46" s="33"/>
      <c r="C46" s="22"/>
      <c r="D46" s="1"/>
      <c r="E46" s="1"/>
      <c r="F46" s="1"/>
      <c r="G46" s="61"/>
      <c r="H46" s="31"/>
      <c r="I46" s="34"/>
      <c r="J46" s="31"/>
      <c r="K46" s="31"/>
      <c r="L46" s="61"/>
      <c r="M46" s="31"/>
      <c r="N46" s="61"/>
      <c r="O46" s="31"/>
      <c r="P46" s="31"/>
      <c r="Q46" s="31"/>
      <c r="R46" s="31"/>
      <c r="S46" s="93"/>
      <c r="T46" s="57"/>
      <c r="U46" s="57"/>
      <c r="V46" s="31"/>
    </row>
    <row r="47" spans="1:22" x14ac:dyDescent="0.2">
      <c r="A47" s="108"/>
      <c r="B47" s="33"/>
      <c r="C47" s="22"/>
      <c r="D47" s="1"/>
      <c r="E47" s="1"/>
      <c r="F47" s="1"/>
      <c r="G47" s="61"/>
      <c r="H47" s="31"/>
      <c r="I47" s="34"/>
      <c r="J47" s="31"/>
      <c r="K47" s="31"/>
      <c r="L47" s="61"/>
      <c r="M47" s="31"/>
      <c r="N47" s="61"/>
      <c r="O47" s="31"/>
      <c r="P47" s="31"/>
      <c r="Q47" s="31"/>
      <c r="R47" s="31"/>
      <c r="S47" s="93"/>
      <c r="T47" s="57"/>
      <c r="U47" s="57"/>
      <c r="V47" s="31"/>
    </row>
    <row r="48" spans="1:22" x14ac:dyDescent="0.2">
      <c r="A48" s="108"/>
      <c r="B48" s="33"/>
      <c r="C48" s="22"/>
      <c r="D48" s="1"/>
      <c r="E48" s="1"/>
      <c r="F48" s="1"/>
      <c r="G48" s="61"/>
      <c r="H48" s="31"/>
      <c r="I48" s="34"/>
      <c r="J48" s="31"/>
      <c r="K48" s="31"/>
      <c r="L48" s="61"/>
      <c r="M48" s="31"/>
      <c r="N48" s="61"/>
      <c r="O48" s="31"/>
      <c r="P48" s="31"/>
      <c r="Q48" s="31"/>
      <c r="R48" s="31"/>
      <c r="S48" s="93"/>
      <c r="T48" s="57"/>
      <c r="U48" s="57"/>
      <c r="V48" s="31"/>
    </row>
    <row r="49" spans="1:22" x14ac:dyDescent="0.2">
      <c r="A49" s="108"/>
      <c r="B49" s="33"/>
      <c r="C49" s="22"/>
      <c r="D49" s="1"/>
      <c r="E49" s="1"/>
      <c r="F49" s="1"/>
      <c r="G49" s="61"/>
      <c r="H49" s="31"/>
      <c r="I49" s="34"/>
      <c r="J49" s="31"/>
      <c r="K49" s="31"/>
      <c r="L49" s="61"/>
      <c r="M49" s="31"/>
      <c r="N49" s="61"/>
      <c r="O49" s="31"/>
      <c r="P49" s="31"/>
      <c r="Q49" s="31"/>
      <c r="R49" s="31"/>
      <c r="S49" s="93"/>
      <c r="T49" s="57"/>
      <c r="U49" s="57"/>
      <c r="V49" s="31"/>
    </row>
    <row r="50" spans="1:22" x14ac:dyDescent="0.2">
      <c r="A50" s="108"/>
      <c r="B50" s="33"/>
      <c r="C50" s="22"/>
      <c r="D50" s="1"/>
      <c r="E50" s="1"/>
      <c r="F50" s="1"/>
      <c r="G50" s="61"/>
      <c r="H50" s="31"/>
      <c r="I50" s="34"/>
      <c r="J50" s="31"/>
      <c r="K50" s="31"/>
      <c r="L50" s="61"/>
      <c r="M50" s="31"/>
      <c r="N50" s="61"/>
      <c r="O50" s="31"/>
      <c r="P50" s="31"/>
      <c r="Q50" s="31"/>
      <c r="R50" s="31"/>
      <c r="S50" s="93"/>
      <c r="T50" s="57"/>
      <c r="U50" s="57"/>
      <c r="V50" s="31"/>
    </row>
    <row r="51" spans="1:22" x14ac:dyDescent="0.2">
      <c r="A51" s="108"/>
      <c r="B51" s="33"/>
      <c r="C51" s="22"/>
      <c r="D51" s="1"/>
      <c r="E51" s="1"/>
      <c r="F51" s="1"/>
      <c r="G51" s="61"/>
      <c r="H51" s="31"/>
      <c r="I51" s="34"/>
      <c r="J51" s="31"/>
      <c r="K51" s="31"/>
      <c r="L51" s="61"/>
      <c r="M51" s="31"/>
      <c r="N51" s="61"/>
      <c r="O51" s="31"/>
      <c r="P51" s="31"/>
      <c r="Q51" s="31"/>
      <c r="R51" s="31"/>
      <c r="S51" s="93"/>
      <c r="T51" s="57"/>
      <c r="U51" s="57"/>
      <c r="V51" s="31"/>
    </row>
    <row r="52" spans="1:22" x14ac:dyDescent="0.2">
      <c r="A52" s="108"/>
      <c r="B52" s="33"/>
      <c r="C52" s="22"/>
      <c r="D52" s="1"/>
      <c r="E52" s="1"/>
      <c r="F52" s="1"/>
      <c r="G52" s="61"/>
      <c r="H52" s="31"/>
      <c r="I52" s="34"/>
      <c r="J52" s="31"/>
      <c r="K52" s="31"/>
      <c r="L52" s="61"/>
      <c r="M52" s="31"/>
      <c r="N52" s="61"/>
      <c r="O52" s="31"/>
      <c r="P52" s="31"/>
      <c r="Q52" s="31"/>
      <c r="R52" s="31"/>
      <c r="S52" s="93"/>
      <c r="T52" s="57"/>
      <c r="U52" s="57"/>
      <c r="V52" s="31"/>
    </row>
    <row r="53" spans="1:22" x14ac:dyDescent="0.2">
      <c r="A53" s="108"/>
      <c r="B53" s="33"/>
      <c r="C53" s="22"/>
      <c r="D53" s="1"/>
      <c r="E53" s="1"/>
      <c r="F53" s="1"/>
      <c r="G53" s="61"/>
      <c r="H53" s="31"/>
      <c r="I53" s="34"/>
      <c r="J53" s="31"/>
      <c r="K53" s="31"/>
      <c r="L53" s="61"/>
      <c r="M53" s="31"/>
      <c r="N53" s="61"/>
      <c r="O53" s="31"/>
      <c r="P53" s="31"/>
      <c r="Q53" s="31"/>
      <c r="R53" s="31"/>
      <c r="S53" s="93"/>
      <c r="T53" s="57"/>
      <c r="U53" s="57"/>
      <c r="V53" s="31"/>
    </row>
    <row r="54" spans="1:22" x14ac:dyDescent="0.2">
      <c r="A54" s="108"/>
      <c r="B54" s="33"/>
      <c r="C54" s="22"/>
      <c r="D54" s="1"/>
      <c r="E54" s="1"/>
      <c r="F54" s="1"/>
      <c r="G54" s="61"/>
      <c r="H54" s="31"/>
      <c r="I54" s="34"/>
      <c r="J54" s="31"/>
      <c r="K54" s="31"/>
      <c r="L54" s="61"/>
      <c r="M54" s="31"/>
      <c r="N54" s="61"/>
      <c r="O54" s="31"/>
      <c r="P54" s="31"/>
      <c r="Q54" s="31"/>
      <c r="R54" s="31"/>
      <c r="S54" s="93"/>
      <c r="T54" s="57"/>
      <c r="U54" s="57"/>
      <c r="V54" s="31"/>
    </row>
    <row r="55" spans="1:22" x14ac:dyDescent="0.2">
      <c r="A55" s="108"/>
      <c r="B55" s="33"/>
      <c r="C55" s="22"/>
      <c r="D55" s="1"/>
      <c r="E55" s="1"/>
      <c r="F55" s="1"/>
      <c r="G55" s="31"/>
      <c r="H55" s="31"/>
      <c r="I55" s="57"/>
      <c r="J55" s="31"/>
      <c r="K55" s="31"/>
      <c r="L55" s="31"/>
      <c r="M55" s="31"/>
      <c r="N55" s="31"/>
      <c r="O55" s="31"/>
      <c r="P55" s="31"/>
      <c r="Q55" s="31"/>
      <c r="R55" s="31"/>
      <c r="S55" s="93"/>
      <c r="T55" s="57"/>
      <c r="U55" s="57"/>
      <c r="V55" s="31"/>
    </row>
    <row r="56" spans="1:22" x14ac:dyDescent="0.2">
      <c r="A56" s="108"/>
      <c r="B56" s="33"/>
      <c r="C56" s="22"/>
      <c r="D56" s="1"/>
      <c r="E56" s="1"/>
      <c r="F56" s="1"/>
      <c r="G56" s="31"/>
      <c r="H56" s="31"/>
      <c r="I56" s="57"/>
      <c r="J56" s="31"/>
      <c r="K56" s="31"/>
      <c r="L56" s="31"/>
      <c r="M56" s="31"/>
      <c r="N56" s="31"/>
      <c r="O56" s="31"/>
      <c r="P56" s="31"/>
      <c r="Q56" s="31"/>
      <c r="R56" s="31"/>
      <c r="S56" s="93"/>
      <c r="T56" s="57"/>
      <c r="U56" s="57"/>
      <c r="V56" s="31"/>
    </row>
    <row r="57" spans="1:22" x14ac:dyDescent="0.2">
      <c r="A57" s="108"/>
      <c r="B57" s="33"/>
      <c r="C57" s="22"/>
      <c r="D57" s="1"/>
      <c r="E57" s="1"/>
      <c r="F57" s="1"/>
      <c r="G57" s="31"/>
      <c r="H57" s="31"/>
      <c r="I57" s="57"/>
      <c r="J57" s="31"/>
      <c r="K57" s="31"/>
      <c r="L57" s="31"/>
      <c r="M57" s="31"/>
      <c r="N57" s="31"/>
      <c r="O57" s="31"/>
      <c r="P57" s="31"/>
      <c r="Q57" s="31"/>
      <c r="R57" s="31"/>
      <c r="S57" s="93"/>
      <c r="T57" s="57"/>
      <c r="U57" s="57"/>
      <c r="V57" s="31"/>
    </row>
    <row r="58" spans="1:22" x14ac:dyDescent="0.2">
      <c r="A58" s="108"/>
      <c r="B58" s="33"/>
      <c r="C58" s="22"/>
      <c r="D58" s="1"/>
      <c r="E58" s="1"/>
      <c r="F58" s="1"/>
      <c r="G58" s="31"/>
      <c r="H58" s="31"/>
      <c r="I58" s="57"/>
      <c r="J58" s="31"/>
      <c r="K58" s="31"/>
      <c r="L58" s="31"/>
      <c r="M58" s="31"/>
      <c r="N58" s="31"/>
      <c r="O58" s="31"/>
      <c r="P58" s="31"/>
      <c r="Q58" s="31"/>
      <c r="R58" s="31"/>
      <c r="S58" s="93"/>
      <c r="T58" s="57"/>
      <c r="U58" s="57"/>
      <c r="V58" s="31"/>
    </row>
    <row r="59" spans="1:22" x14ac:dyDescent="0.2">
      <c r="A59" s="108"/>
      <c r="B59" s="33"/>
      <c r="C59" s="22"/>
      <c r="D59" s="1"/>
      <c r="E59" s="1"/>
      <c r="F59" s="1"/>
      <c r="G59" s="31"/>
      <c r="H59" s="31"/>
      <c r="I59" s="57"/>
      <c r="J59" s="31"/>
      <c r="K59" s="31"/>
      <c r="L59" s="31"/>
      <c r="M59" s="31"/>
      <c r="N59" s="31"/>
      <c r="O59" s="31"/>
      <c r="P59" s="31"/>
      <c r="Q59" s="31"/>
      <c r="R59" s="31"/>
      <c r="S59" s="93"/>
      <c r="T59" s="57"/>
      <c r="U59" s="57"/>
      <c r="V59" s="31"/>
    </row>
    <row r="60" spans="1:22" x14ac:dyDescent="0.2">
      <c r="A60" s="108"/>
      <c r="B60" s="33"/>
      <c r="C60" s="22"/>
      <c r="D60" s="1"/>
      <c r="E60" s="1"/>
      <c r="F60" s="1"/>
      <c r="G60" s="31"/>
      <c r="H60" s="31"/>
      <c r="I60" s="57"/>
      <c r="J60" s="31"/>
      <c r="K60" s="31"/>
      <c r="L60" s="31"/>
      <c r="M60" s="31"/>
      <c r="N60" s="31"/>
      <c r="O60" s="31"/>
      <c r="P60" s="31"/>
      <c r="Q60" s="31"/>
      <c r="R60" s="31"/>
      <c r="S60" s="93"/>
      <c r="T60" s="57"/>
      <c r="U60" s="57"/>
      <c r="V60" s="31"/>
    </row>
    <row r="61" spans="1:22" x14ac:dyDescent="0.2">
      <c r="A61" s="108"/>
      <c r="B61" s="33"/>
      <c r="C61" s="22"/>
      <c r="D61" s="1"/>
      <c r="E61" s="1"/>
      <c r="F61" s="1"/>
      <c r="G61" s="31"/>
      <c r="H61" s="31"/>
      <c r="I61" s="57"/>
      <c r="J61" s="31"/>
      <c r="K61" s="31"/>
      <c r="L61" s="31"/>
      <c r="M61" s="31"/>
      <c r="N61" s="31"/>
      <c r="O61" s="31"/>
      <c r="P61" s="31"/>
      <c r="Q61" s="31"/>
      <c r="R61" s="31"/>
      <c r="S61" s="93"/>
      <c r="T61" s="57"/>
      <c r="U61" s="57"/>
      <c r="V61" s="31"/>
    </row>
    <row r="62" spans="1:22" x14ac:dyDescent="0.2">
      <c r="A62" s="108"/>
      <c r="B62" s="33"/>
      <c r="C62" s="22"/>
      <c r="D62" s="1"/>
      <c r="E62" s="1"/>
      <c r="F62" s="1"/>
      <c r="G62" s="31"/>
      <c r="H62" s="31"/>
      <c r="I62" s="57"/>
      <c r="J62" s="31"/>
      <c r="K62" s="31"/>
      <c r="L62" s="31"/>
      <c r="M62" s="31"/>
      <c r="N62" s="31"/>
      <c r="O62" s="31"/>
      <c r="P62" s="31"/>
      <c r="Q62" s="31"/>
      <c r="R62" s="31"/>
      <c r="S62" s="93"/>
      <c r="T62" s="57"/>
      <c r="U62" s="57"/>
      <c r="V62" s="31"/>
    </row>
    <row r="63" spans="1:22" x14ac:dyDescent="0.2">
      <c r="A63" s="108"/>
      <c r="B63" s="33"/>
      <c r="C63" s="22"/>
      <c r="D63" s="1"/>
      <c r="E63" s="1"/>
      <c r="F63" s="1"/>
      <c r="G63" s="31"/>
      <c r="H63" s="31"/>
      <c r="I63" s="57"/>
      <c r="J63" s="31"/>
      <c r="K63" s="31"/>
      <c r="L63" s="31"/>
      <c r="M63" s="31"/>
      <c r="N63" s="31"/>
      <c r="O63" s="31"/>
      <c r="P63" s="31"/>
      <c r="Q63" s="31"/>
      <c r="R63" s="31"/>
      <c r="S63" s="93"/>
      <c r="T63" s="57"/>
      <c r="U63" s="57"/>
      <c r="V63" s="31"/>
    </row>
    <row r="64" spans="1:22" x14ac:dyDescent="0.2">
      <c r="A64" s="108"/>
      <c r="B64" s="33"/>
      <c r="C64" s="22"/>
      <c r="D64" s="1"/>
      <c r="E64" s="1"/>
      <c r="F64" s="1"/>
      <c r="G64" s="31"/>
      <c r="H64" s="31"/>
      <c r="I64" s="57"/>
      <c r="J64" s="31"/>
      <c r="K64" s="31"/>
      <c r="L64" s="31"/>
      <c r="M64" s="31"/>
      <c r="N64" s="31"/>
      <c r="O64" s="31"/>
      <c r="P64" s="31"/>
      <c r="Q64" s="31"/>
      <c r="R64" s="31"/>
      <c r="S64" s="93"/>
      <c r="T64" s="57"/>
      <c r="U64" s="57"/>
      <c r="V64" s="31"/>
    </row>
    <row r="65" spans="1:22" x14ac:dyDescent="0.2">
      <c r="A65" s="108"/>
      <c r="B65" s="33"/>
      <c r="C65" s="22"/>
      <c r="D65" s="1"/>
      <c r="E65" s="1"/>
      <c r="F65" s="1"/>
      <c r="G65" s="31"/>
      <c r="H65" s="31"/>
      <c r="I65" s="57"/>
      <c r="J65" s="31"/>
      <c r="K65" s="31"/>
      <c r="L65" s="31"/>
      <c r="M65" s="31"/>
      <c r="N65" s="31"/>
      <c r="O65" s="31"/>
      <c r="P65" s="31"/>
      <c r="Q65" s="31"/>
      <c r="R65" s="31"/>
      <c r="S65" s="93"/>
      <c r="T65" s="57"/>
      <c r="U65" s="57"/>
      <c r="V65" s="31"/>
    </row>
    <row r="66" spans="1:22" x14ac:dyDescent="0.2">
      <c r="A66" s="108"/>
      <c r="B66" s="33"/>
      <c r="C66" s="22"/>
      <c r="D66" s="1"/>
      <c r="E66" s="1"/>
      <c r="F66" s="1"/>
      <c r="G66" s="31"/>
      <c r="H66" s="31"/>
      <c r="I66" s="57"/>
      <c r="J66" s="31"/>
      <c r="K66" s="31"/>
      <c r="L66" s="31"/>
      <c r="M66" s="31"/>
      <c r="N66" s="31"/>
      <c r="O66" s="31"/>
      <c r="P66" s="31"/>
      <c r="Q66" s="31"/>
      <c r="R66" s="31"/>
      <c r="S66" s="93"/>
      <c r="T66" s="57"/>
      <c r="U66" s="57"/>
      <c r="V66" s="31"/>
    </row>
    <row r="67" spans="1:22" x14ac:dyDescent="0.2">
      <c r="A67" s="108"/>
      <c r="B67" s="33"/>
      <c r="C67" s="22"/>
      <c r="D67" s="1"/>
      <c r="E67" s="1"/>
      <c r="F67" s="1"/>
      <c r="G67" s="31"/>
      <c r="H67" s="31"/>
      <c r="I67" s="57"/>
      <c r="J67" s="31"/>
      <c r="K67" s="31"/>
      <c r="L67" s="31"/>
      <c r="M67" s="31"/>
      <c r="N67" s="31"/>
      <c r="O67" s="31"/>
      <c r="P67" s="31"/>
      <c r="Q67" s="31"/>
      <c r="R67" s="31"/>
      <c r="S67" s="93"/>
      <c r="T67" s="57"/>
      <c r="U67" s="57"/>
      <c r="V67" s="31"/>
    </row>
    <row r="68" spans="1:22" x14ac:dyDescent="0.2">
      <c r="A68" s="108"/>
      <c r="B68" s="33"/>
      <c r="C68" s="22"/>
      <c r="D68" s="1"/>
      <c r="E68" s="1"/>
      <c r="F68" s="1"/>
      <c r="G68" s="31"/>
      <c r="H68" s="31"/>
      <c r="I68" s="57"/>
      <c r="J68" s="31"/>
      <c r="K68" s="31"/>
      <c r="L68" s="31"/>
      <c r="M68" s="31"/>
      <c r="N68" s="31"/>
      <c r="O68" s="31"/>
      <c r="P68" s="31"/>
      <c r="Q68" s="31"/>
      <c r="R68" s="31"/>
      <c r="S68" s="93"/>
      <c r="T68" s="57"/>
      <c r="U68" s="57"/>
      <c r="V68" s="31"/>
    </row>
    <row r="69" spans="1:22" x14ac:dyDescent="0.2">
      <c r="A69" s="108"/>
      <c r="B69" s="33"/>
      <c r="C69" s="22"/>
      <c r="D69" s="1"/>
      <c r="E69" s="1"/>
      <c r="F69" s="1"/>
      <c r="G69" s="31"/>
      <c r="H69" s="31"/>
      <c r="I69" s="57"/>
      <c r="J69" s="31"/>
      <c r="K69" s="31"/>
      <c r="L69" s="31"/>
      <c r="M69" s="31"/>
      <c r="N69" s="31"/>
      <c r="O69" s="31"/>
      <c r="P69" s="31"/>
      <c r="Q69" s="31"/>
      <c r="R69" s="31"/>
      <c r="S69" s="93"/>
      <c r="T69" s="57"/>
      <c r="U69" s="57"/>
      <c r="V69" s="31"/>
    </row>
    <row r="70" spans="1:22" x14ac:dyDescent="0.2">
      <c r="A70" s="108"/>
      <c r="B70" s="33"/>
      <c r="C70" s="22"/>
      <c r="D70" s="1"/>
      <c r="E70" s="1"/>
      <c r="F70" s="1"/>
      <c r="G70" s="31"/>
      <c r="H70" s="31"/>
      <c r="I70" s="57"/>
      <c r="J70" s="31"/>
      <c r="K70" s="31"/>
      <c r="L70" s="31"/>
      <c r="M70" s="31"/>
      <c r="N70" s="31"/>
      <c r="O70" s="31"/>
      <c r="P70" s="31"/>
      <c r="Q70" s="31"/>
      <c r="R70" s="31"/>
      <c r="S70" s="93"/>
      <c r="T70" s="57"/>
      <c r="U70" s="57"/>
      <c r="V70" s="31"/>
    </row>
    <row r="71" spans="1:22" x14ac:dyDescent="0.2">
      <c r="A71" s="108"/>
      <c r="B71" s="33"/>
      <c r="C71" s="22"/>
      <c r="D71" s="1"/>
      <c r="E71" s="1"/>
      <c r="F71" s="1"/>
      <c r="G71" s="31"/>
      <c r="H71" s="31"/>
      <c r="I71" s="57"/>
      <c r="J71" s="31"/>
      <c r="K71" s="31"/>
      <c r="L71" s="31"/>
      <c r="M71" s="31"/>
      <c r="N71" s="31"/>
      <c r="O71" s="31"/>
      <c r="P71" s="31"/>
      <c r="Q71" s="31"/>
      <c r="R71" s="31"/>
      <c r="S71" s="93"/>
      <c r="T71" s="57"/>
      <c r="U71" s="57"/>
      <c r="V71" s="31"/>
    </row>
    <row r="72" spans="1:22" x14ac:dyDescent="0.2">
      <c r="A72" s="108"/>
      <c r="B72" s="33"/>
      <c r="C72" s="22"/>
      <c r="D72" s="1"/>
      <c r="E72" s="1"/>
      <c r="F72" s="1"/>
      <c r="G72" s="31"/>
      <c r="H72" s="31"/>
      <c r="I72" s="57"/>
      <c r="J72" s="31"/>
      <c r="K72" s="31"/>
      <c r="L72" s="31"/>
      <c r="M72" s="31"/>
      <c r="N72" s="31"/>
      <c r="O72" s="31"/>
      <c r="P72" s="31"/>
      <c r="Q72" s="31"/>
      <c r="R72" s="31"/>
      <c r="S72" s="93"/>
      <c r="T72" s="57"/>
      <c r="U72" s="57"/>
      <c r="V72" s="31"/>
    </row>
    <row r="73" spans="1:22" x14ac:dyDescent="0.2">
      <c r="A73" s="108"/>
      <c r="B73" s="33"/>
      <c r="C73" s="22"/>
      <c r="D73" s="1"/>
      <c r="E73" s="1"/>
      <c r="F73" s="1"/>
      <c r="G73" s="31"/>
      <c r="H73" s="31"/>
      <c r="I73" s="57"/>
      <c r="J73" s="31"/>
      <c r="K73" s="31"/>
      <c r="L73" s="31"/>
      <c r="M73" s="31"/>
      <c r="N73" s="31"/>
      <c r="O73" s="31"/>
      <c r="P73" s="31"/>
      <c r="Q73" s="31"/>
      <c r="R73" s="31"/>
      <c r="S73" s="93"/>
      <c r="T73" s="57"/>
      <c r="U73" s="57"/>
      <c r="V73" s="31"/>
    </row>
    <row r="74" spans="1:22" x14ac:dyDescent="0.2">
      <c r="A74" s="108"/>
      <c r="B74" s="33"/>
      <c r="C74" s="22"/>
      <c r="D74" s="1"/>
      <c r="E74" s="1"/>
      <c r="F74" s="1"/>
      <c r="G74" s="31"/>
      <c r="H74" s="31"/>
      <c r="I74" s="57"/>
      <c r="J74" s="31"/>
      <c r="K74" s="31"/>
      <c r="L74" s="31"/>
      <c r="M74" s="31"/>
      <c r="N74" s="31"/>
      <c r="O74" s="31"/>
      <c r="P74" s="31"/>
      <c r="Q74" s="31"/>
      <c r="R74" s="31"/>
      <c r="S74" s="93"/>
      <c r="T74" s="57"/>
      <c r="U74" s="57"/>
      <c r="V74" s="31"/>
    </row>
    <row r="75" spans="1:22" x14ac:dyDescent="0.2">
      <c r="A75" s="108"/>
      <c r="B75" s="33"/>
      <c r="C75" s="22"/>
      <c r="D75" s="1"/>
      <c r="E75" s="1"/>
      <c r="F75" s="1"/>
      <c r="G75" s="31"/>
      <c r="H75" s="31"/>
      <c r="I75" s="57"/>
      <c r="J75" s="31"/>
      <c r="K75" s="31"/>
      <c r="L75" s="31"/>
      <c r="M75" s="31"/>
      <c r="N75" s="31"/>
      <c r="O75" s="31"/>
      <c r="P75" s="31"/>
      <c r="Q75" s="31"/>
      <c r="R75" s="31"/>
      <c r="S75" s="93"/>
      <c r="T75" s="57"/>
      <c r="U75" s="57"/>
      <c r="V75" s="31"/>
    </row>
    <row r="76" spans="1:22" x14ac:dyDescent="0.2">
      <c r="A76" s="108"/>
      <c r="B76" s="33"/>
      <c r="C76" s="22"/>
      <c r="D76" s="1"/>
      <c r="E76" s="1"/>
      <c r="F76" s="1"/>
      <c r="G76" s="31"/>
      <c r="H76" s="31"/>
      <c r="I76" s="57"/>
      <c r="J76" s="31"/>
      <c r="K76" s="31"/>
      <c r="L76" s="31"/>
      <c r="M76" s="31"/>
      <c r="N76" s="31"/>
      <c r="O76" s="31"/>
      <c r="P76" s="31"/>
      <c r="Q76" s="31"/>
      <c r="R76" s="31"/>
      <c r="S76" s="93"/>
      <c r="T76" s="57"/>
      <c r="U76" s="57"/>
      <c r="V76" s="31"/>
    </row>
    <row r="77" spans="1:22" x14ac:dyDescent="0.2">
      <c r="A77" s="108"/>
      <c r="B77" s="33"/>
      <c r="C77" s="22"/>
      <c r="D77" s="1"/>
      <c r="E77" s="1"/>
      <c r="F77" s="1"/>
      <c r="G77" s="31"/>
      <c r="H77" s="31"/>
      <c r="I77" s="57"/>
      <c r="J77" s="31"/>
      <c r="K77" s="31"/>
      <c r="L77" s="31"/>
      <c r="M77" s="31"/>
      <c r="N77" s="31"/>
      <c r="O77" s="31"/>
      <c r="P77" s="31"/>
      <c r="Q77" s="31"/>
      <c r="R77" s="31"/>
      <c r="S77" s="93"/>
      <c r="T77" s="57"/>
      <c r="U77" s="57"/>
      <c r="V77" s="31"/>
    </row>
    <row r="78" spans="1:22" x14ac:dyDescent="0.2">
      <c r="A78" s="108"/>
      <c r="B78" s="33"/>
      <c r="C78" s="22"/>
      <c r="D78" s="1"/>
      <c r="E78" s="1"/>
      <c r="F78" s="1"/>
      <c r="G78" s="31"/>
      <c r="H78" s="31"/>
      <c r="I78" s="57"/>
      <c r="J78" s="31"/>
      <c r="K78" s="31"/>
      <c r="L78" s="31"/>
      <c r="M78" s="31"/>
      <c r="N78" s="31"/>
      <c r="O78" s="31"/>
      <c r="P78" s="31"/>
      <c r="Q78" s="31"/>
      <c r="R78" s="31"/>
      <c r="S78" s="93"/>
      <c r="T78" s="57"/>
      <c r="U78" s="57"/>
      <c r="V78" s="31"/>
    </row>
    <row r="79" spans="1:22" x14ac:dyDescent="0.2">
      <c r="A79" s="108"/>
      <c r="B79" s="33"/>
      <c r="C79" s="22"/>
      <c r="D79" s="1"/>
      <c r="E79" s="1"/>
      <c r="F79" s="1"/>
      <c r="G79" s="31"/>
      <c r="H79" s="31"/>
      <c r="I79" s="57"/>
      <c r="J79" s="31"/>
      <c r="K79" s="31"/>
      <c r="L79" s="31"/>
      <c r="M79" s="31"/>
      <c r="N79" s="31"/>
      <c r="O79" s="31"/>
      <c r="P79" s="31"/>
      <c r="Q79" s="31"/>
      <c r="R79" s="31"/>
      <c r="S79" s="93"/>
      <c r="T79" s="57"/>
      <c r="U79" s="57"/>
      <c r="V79" s="31"/>
    </row>
    <row r="80" spans="1:22" x14ac:dyDescent="0.2">
      <c r="A80" s="108"/>
      <c r="B80" s="33"/>
      <c r="C80" s="22"/>
      <c r="D80" s="1"/>
      <c r="E80" s="1"/>
      <c r="F80" s="1"/>
      <c r="G80" s="31"/>
      <c r="H80" s="31"/>
      <c r="I80" s="57"/>
      <c r="J80" s="31"/>
      <c r="K80" s="31"/>
      <c r="L80" s="31"/>
      <c r="M80" s="31"/>
      <c r="N80" s="31"/>
      <c r="O80" s="31"/>
      <c r="P80" s="31"/>
      <c r="Q80" s="31"/>
      <c r="R80" s="31"/>
      <c r="S80" s="93"/>
      <c r="T80" s="57"/>
      <c r="U80" s="57"/>
      <c r="V80" s="31"/>
    </row>
    <row r="81" spans="1:22" x14ac:dyDescent="0.2">
      <c r="A81" s="108"/>
      <c r="B81" s="33"/>
      <c r="C81" s="22"/>
      <c r="D81" s="1"/>
      <c r="E81" s="1"/>
      <c r="F81" s="1"/>
      <c r="G81" s="31"/>
      <c r="H81" s="31"/>
      <c r="I81" s="57"/>
      <c r="J81" s="31"/>
      <c r="K81" s="31"/>
      <c r="L81" s="31"/>
      <c r="M81" s="31"/>
      <c r="N81" s="31"/>
      <c r="O81" s="31"/>
      <c r="P81" s="31"/>
      <c r="Q81" s="31"/>
      <c r="R81" s="31"/>
      <c r="S81" s="93"/>
      <c r="T81" s="57"/>
      <c r="U81" s="57"/>
      <c r="V81" s="31"/>
    </row>
    <row r="82" spans="1:22" x14ac:dyDescent="0.2">
      <c r="A82" s="108"/>
      <c r="B82" s="33"/>
      <c r="C82" s="22"/>
      <c r="D82" s="1"/>
      <c r="E82" s="1"/>
      <c r="F82" s="1"/>
      <c r="G82" s="31"/>
      <c r="H82" s="31"/>
      <c r="I82" s="57"/>
      <c r="J82" s="31"/>
      <c r="K82" s="31"/>
      <c r="L82" s="31"/>
      <c r="M82" s="31"/>
      <c r="N82" s="31"/>
      <c r="O82" s="31"/>
      <c r="P82" s="31"/>
      <c r="Q82" s="31"/>
      <c r="R82" s="31"/>
      <c r="S82" s="93"/>
      <c r="T82" s="57"/>
      <c r="U82" s="57"/>
      <c r="V82" s="31"/>
    </row>
    <row r="83" spans="1:22" x14ac:dyDescent="0.2">
      <c r="A83" s="108"/>
      <c r="B83" s="33"/>
      <c r="C83" s="22"/>
      <c r="D83" s="1"/>
      <c r="E83" s="1"/>
      <c r="F83" s="1"/>
      <c r="G83" s="31"/>
      <c r="H83" s="31"/>
      <c r="I83" s="57"/>
      <c r="J83" s="31"/>
      <c r="K83" s="31"/>
      <c r="L83" s="31"/>
      <c r="M83" s="31"/>
      <c r="N83" s="31"/>
      <c r="O83" s="31"/>
      <c r="P83" s="31"/>
      <c r="Q83" s="31"/>
      <c r="R83" s="31"/>
      <c r="S83" s="93"/>
      <c r="T83" s="57"/>
      <c r="U83" s="57"/>
      <c r="V83" s="31"/>
    </row>
    <row r="84" spans="1:22" x14ac:dyDescent="0.2">
      <c r="A84" s="108"/>
      <c r="B84" s="33"/>
      <c r="C84" s="22"/>
      <c r="D84" s="1"/>
      <c r="E84" s="1"/>
      <c r="F84" s="1"/>
      <c r="G84" s="31"/>
      <c r="H84" s="31"/>
      <c r="I84" s="57"/>
      <c r="J84" s="31"/>
      <c r="K84" s="31"/>
      <c r="L84" s="31"/>
      <c r="M84" s="31"/>
      <c r="N84" s="31"/>
      <c r="O84" s="31"/>
      <c r="P84" s="31"/>
      <c r="Q84" s="31"/>
      <c r="R84" s="31"/>
      <c r="S84" s="93"/>
      <c r="T84" s="57"/>
      <c r="U84" s="57"/>
      <c r="V84" s="31"/>
    </row>
    <row r="85" spans="1:22" x14ac:dyDescent="0.2">
      <c r="A85" s="108"/>
      <c r="B85" s="33"/>
      <c r="C85" s="22"/>
      <c r="D85" s="1"/>
      <c r="E85" s="1"/>
      <c r="F85" s="1"/>
      <c r="G85" s="31"/>
      <c r="H85" s="31"/>
      <c r="I85" s="57"/>
      <c r="J85" s="31"/>
      <c r="K85" s="31"/>
      <c r="L85" s="31"/>
      <c r="M85" s="31"/>
      <c r="N85" s="31"/>
      <c r="O85" s="31"/>
      <c r="P85" s="31"/>
      <c r="Q85" s="31"/>
      <c r="R85" s="31"/>
      <c r="S85" s="93"/>
      <c r="T85" s="57"/>
      <c r="U85" s="57"/>
      <c r="V85" s="31"/>
    </row>
    <row r="86" spans="1:22" x14ac:dyDescent="0.2">
      <c r="A86" s="108"/>
      <c r="B86" s="33"/>
      <c r="C86" s="22"/>
      <c r="D86" s="1"/>
      <c r="E86" s="1"/>
      <c r="F86" s="1"/>
      <c r="G86" s="31"/>
      <c r="H86" s="31"/>
      <c r="I86" s="57"/>
      <c r="J86" s="31"/>
      <c r="K86" s="31"/>
      <c r="L86" s="31"/>
      <c r="M86" s="31"/>
      <c r="N86" s="31"/>
      <c r="O86" s="31"/>
      <c r="P86" s="31"/>
      <c r="Q86" s="31"/>
      <c r="R86" s="31"/>
      <c r="S86" s="93"/>
      <c r="T86" s="57"/>
      <c r="U86" s="57"/>
      <c r="V86" s="31"/>
    </row>
    <row r="87" spans="1:22" x14ac:dyDescent="0.2">
      <c r="A87" s="108"/>
      <c r="B87" s="33"/>
      <c r="C87" s="22"/>
      <c r="D87" s="1"/>
      <c r="E87" s="1"/>
      <c r="F87" s="1"/>
      <c r="G87" s="31"/>
      <c r="H87" s="31"/>
      <c r="I87" s="57"/>
      <c r="J87" s="31"/>
      <c r="K87" s="31"/>
      <c r="L87" s="31"/>
      <c r="M87" s="31"/>
      <c r="N87" s="31"/>
      <c r="O87" s="31"/>
      <c r="P87" s="31"/>
      <c r="Q87" s="31"/>
      <c r="R87" s="31"/>
      <c r="S87" s="93"/>
      <c r="T87" s="57"/>
      <c r="U87" s="57"/>
      <c r="V87" s="31"/>
    </row>
    <row r="88" spans="1:22" x14ac:dyDescent="0.2">
      <c r="A88" s="108"/>
      <c r="B88" s="33"/>
      <c r="C88" s="22"/>
      <c r="D88" s="1"/>
      <c r="E88" s="1"/>
      <c r="F88" s="1"/>
      <c r="G88" s="31"/>
      <c r="H88" s="31"/>
      <c r="I88" s="57"/>
      <c r="J88" s="31"/>
      <c r="K88" s="31"/>
      <c r="L88" s="31"/>
      <c r="M88" s="31"/>
      <c r="N88" s="31"/>
      <c r="O88" s="31"/>
      <c r="P88" s="31"/>
      <c r="Q88" s="31"/>
      <c r="R88" s="31"/>
      <c r="S88" s="93"/>
      <c r="T88" s="57"/>
      <c r="U88" s="57"/>
      <c r="V88" s="31"/>
    </row>
    <row r="89" spans="1:22" x14ac:dyDescent="0.2">
      <c r="A89" s="108"/>
      <c r="B89" s="33"/>
      <c r="C89" s="22"/>
      <c r="D89" s="1"/>
      <c r="E89" s="1"/>
      <c r="F89" s="1"/>
      <c r="G89" s="31"/>
      <c r="H89" s="31"/>
      <c r="I89" s="57"/>
      <c r="J89" s="31"/>
      <c r="K89" s="31"/>
      <c r="L89" s="31"/>
      <c r="M89" s="31"/>
      <c r="N89" s="31"/>
      <c r="O89" s="31"/>
      <c r="P89" s="31"/>
      <c r="Q89" s="31"/>
      <c r="R89" s="31"/>
      <c r="S89" s="93"/>
      <c r="T89" s="57"/>
      <c r="U89" s="57"/>
      <c r="V89" s="31"/>
    </row>
    <row r="90" spans="1:22" x14ac:dyDescent="0.2">
      <c r="A90" s="108"/>
      <c r="B90" s="33"/>
      <c r="C90" s="22"/>
      <c r="D90" s="1"/>
      <c r="E90" s="1"/>
      <c r="F90" s="1"/>
      <c r="G90" s="31"/>
      <c r="H90" s="31"/>
      <c r="I90" s="57"/>
      <c r="J90" s="31"/>
      <c r="K90" s="31"/>
      <c r="L90" s="31"/>
      <c r="M90" s="31"/>
      <c r="N90" s="31"/>
      <c r="O90" s="31"/>
      <c r="P90" s="31"/>
      <c r="Q90" s="31"/>
      <c r="R90" s="31"/>
      <c r="S90" s="93"/>
      <c r="T90" s="57"/>
      <c r="U90" s="57"/>
      <c r="V90" s="31"/>
    </row>
    <row r="91" spans="1:22" x14ac:dyDescent="0.2">
      <c r="A91" s="108"/>
      <c r="B91" s="33"/>
      <c r="C91" s="22"/>
      <c r="D91" s="1"/>
      <c r="E91" s="1"/>
      <c r="F91" s="1"/>
      <c r="G91" s="31"/>
      <c r="H91" s="31"/>
      <c r="I91" s="57"/>
      <c r="J91" s="31"/>
      <c r="K91" s="31"/>
      <c r="L91" s="31"/>
      <c r="M91" s="31"/>
      <c r="N91" s="31"/>
      <c r="O91" s="31"/>
      <c r="P91" s="31"/>
      <c r="Q91" s="31"/>
      <c r="R91" s="31"/>
      <c r="S91" s="93"/>
      <c r="T91" s="57"/>
      <c r="U91" s="57"/>
      <c r="V91" s="31"/>
    </row>
    <row r="92" spans="1:22" x14ac:dyDescent="0.2">
      <c r="A92" s="108"/>
      <c r="B92" s="33"/>
      <c r="C92" s="22"/>
      <c r="D92" s="1"/>
      <c r="E92" s="1"/>
      <c r="F92" s="1"/>
      <c r="G92" s="31"/>
      <c r="H92" s="31"/>
      <c r="I92" s="57"/>
      <c r="J92" s="31"/>
      <c r="K92" s="31"/>
      <c r="L92" s="31"/>
      <c r="M92" s="31"/>
      <c r="N92" s="31"/>
      <c r="O92" s="31"/>
      <c r="P92" s="31"/>
      <c r="Q92" s="31"/>
      <c r="R92" s="31"/>
      <c r="S92" s="93"/>
      <c r="T92" s="57"/>
      <c r="U92" s="57"/>
      <c r="V92" s="31"/>
    </row>
    <row r="93" spans="1:22" x14ac:dyDescent="0.2">
      <c r="A93" s="108"/>
      <c r="B93" s="33"/>
      <c r="C93" s="22"/>
      <c r="D93" s="1"/>
      <c r="E93" s="1"/>
      <c r="F93" s="1"/>
      <c r="G93" s="31"/>
      <c r="H93" s="31"/>
      <c r="I93" s="57"/>
      <c r="J93" s="31"/>
      <c r="K93" s="31"/>
      <c r="L93" s="31"/>
      <c r="M93" s="31"/>
      <c r="N93" s="31"/>
      <c r="O93" s="31"/>
      <c r="P93" s="31"/>
      <c r="Q93" s="31"/>
      <c r="R93" s="31"/>
      <c r="S93" s="93"/>
      <c r="T93" s="57"/>
      <c r="U93" s="57"/>
      <c r="V93" s="31"/>
    </row>
    <row r="94" spans="1:22" x14ac:dyDescent="0.2">
      <c r="A94" s="108"/>
      <c r="B94" s="33"/>
      <c r="C94" s="22"/>
      <c r="D94" s="1"/>
      <c r="E94" s="1"/>
      <c r="F94" s="1"/>
      <c r="G94" s="31"/>
      <c r="H94" s="31"/>
      <c r="I94" s="57"/>
      <c r="J94" s="31"/>
      <c r="K94" s="31"/>
      <c r="L94" s="31"/>
      <c r="M94" s="31"/>
      <c r="N94" s="31"/>
      <c r="O94" s="31"/>
      <c r="P94" s="31"/>
      <c r="Q94" s="31"/>
      <c r="R94" s="31"/>
      <c r="S94" s="93"/>
      <c r="T94" s="57"/>
      <c r="U94" s="57"/>
      <c r="V94" s="31"/>
    </row>
    <row r="95" spans="1:22" x14ac:dyDescent="0.2">
      <c r="A95" s="108"/>
      <c r="B95" s="33"/>
      <c r="C95" s="22"/>
      <c r="D95" s="1"/>
      <c r="E95" s="1"/>
      <c r="F95" s="1"/>
      <c r="G95" s="31"/>
      <c r="H95" s="31"/>
      <c r="I95" s="57"/>
      <c r="J95" s="31"/>
      <c r="K95" s="31"/>
      <c r="L95" s="31"/>
      <c r="M95" s="31"/>
      <c r="N95" s="31"/>
      <c r="O95" s="31"/>
      <c r="P95" s="31"/>
      <c r="Q95" s="31"/>
      <c r="R95" s="31"/>
      <c r="S95" s="93"/>
      <c r="T95" s="57"/>
      <c r="U95" s="57"/>
      <c r="V95" s="31"/>
    </row>
    <row r="96" spans="1:22" x14ac:dyDescent="0.2">
      <c r="A96" s="108"/>
      <c r="B96" s="33"/>
      <c r="C96" s="22"/>
      <c r="D96" s="1"/>
      <c r="E96" s="1"/>
      <c r="F96" s="1"/>
      <c r="G96" s="31"/>
      <c r="H96" s="31"/>
      <c r="I96" s="57"/>
      <c r="J96" s="31"/>
      <c r="K96" s="31"/>
      <c r="L96" s="31"/>
      <c r="M96" s="31"/>
      <c r="N96" s="31"/>
      <c r="O96" s="31"/>
      <c r="P96" s="31"/>
      <c r="Q96" s="31"/>
      <c r="R96" s="31"/>
      <c r="S96" s="93"/>
      <c r="T96" s="57"/>
      <c r="U96" s="57"/>
      <c r="V96" s="31"/>
    </row>
    <row r="97" spans="1:22" x14ac:dyDescent="0.2">
      <c r="A97" s="108"/>
      <c r="B97" s="33"/>
      <c r="C97" s="22"/>
      <c r="D97" s="1"/>
      <c r="E97" s="1"/>
      <c r="F97" s="1"/>
      <c r="G97" s="31"/>
      <c r="H97" s="31"/>
      <c r="I97" s="57"/>
      <c r="J97" s="31"/>
      <c r="K97" s="31"/>
      <c r="L97" s="31"/>
      <c r="M97" s="31"/>
      <c r="N97" s="31"/>
      <c r="O97" s="31"/>
      <c r="P97" s="31"/>
      <c r="Q97" s="31"/>
      <c r="R97" s="31"/>
      <c r="S97" s="93"/>
      <c r="T97" s="57"/>
      <c r="U97" s="57"/>
      <c r="V97" s="31"/>
    </row>
    <row r="98" spans="1:22" x14ac:dyDescent="0.2">
      <c r="A98" s="108"/>
      <c r="B98" s="33"/>
      <c r="C98" s="22"/>
      <c r="D98" s="1"/>
      <c r="E98" s="1"/>
      <c r="F98" s="1"/>
      <c r="G98" s="31"/>
      <c r="H98" s="31"/>
      <c r="I98" s="57"/>
      <c r="J98" s="31"/>
      <c r="K98" s="31"/>
      <c r="L98" s="31"/>
      <c r="M98" s="31"/>
      <c r="N98" s="31"/>
      <c r="O98" s="31"/>
      <c r="P98" s="31"/>
      <c r="Q98" s="31"/>
      <c r="R98" s="31"/>
      <c r="S98" s="93"/>
      <c r="T98" s="57"/>
      <c r="U98" s="57"/>
      <c r="V98" s="31"/>
    </row>
    <row r="99" spans="1:22" x14ac:dyDescent="0.2">
      <c r="A99" s="108"/>
      <c r="B99" s="33"/>
      <c r="C99" s="22"/>
      <c r="D99" s="1"/>
      <c r="E99" s="1"/>
      <c r="F99" s="1"/>
      <c r="G99" s="31"/>
      <c r="H99" s="31"/>
      <c r="I99" s="57"/>
      <c r="J99" s="31"/>
      <c r="K99" s="31"/>
      <c r="L99" s="31"/>
      <c r="M99" s="31"/>
      <c r="N99" s="31"/>
      <c r="O99" s="31"/>
      <c r="P99" s="31"/>
      <c r="Q99" s="31"/>
      <c r="R99" s="31"/>
      <c r="S99" s="93"/>
      <c r="T99" s="57"/>
      <c r="U99" s="57"/>
      <c r="V99" s="31"/>
    </row>
    <row r="100" spans="1:22" x14ac:dyDescent="0.2">
      <c r="A100" s="108"/>
      <c r="B100" s="33"/>
      <c r="C100" s="22"/>
      <c r="D100" s="1"/>
      <c r="E100" s="1"/>
      <c r="F100" s="1"/>
      <c r="G100" s="31"/>
      <c r="H100" s="31"/>
      <c r="I100" s="57"/>
      <c r="J100" s="31"/>
      <c r="K100" s="31"/>
      <c r="L100" s="31"/>
      <c r="M100" s="31"/>
      <c r="N100" s="31"/>
      <c r="O100" s="31"/>
      <c r="P100" s="31"/>
      <c r="Q100" s="31"/>
      <c r="R100" s="31"/>
      <c r="S100" s="93"/>
      <c r="T100" s="57"/>
      <c r="U100" s="57"/>
      <c r="V100" s="31"/>
    </row>
    <row r="101" spans="1:22" x14ac:dyDescent="0.2">
      <c r="A101" s="108"/>
      <c r="B101" s="33"/>
      <c r="C101" s="22"/>
      <c r="D101" s="1"/>
      <c r="E101" s="1"/>
      <c r="F101" s="1"/>
      <c r="G101" s="31"/>
      <c r="H101" s="31"/>
      <c r="I101" s="57"/>
      <c r="J101" s="31"/>
      <c r="K101" s="31"/>
      <c r="L101" s="31"/>
      <c r="M101" s="31"/>
      <c r="N101" s="31"/>
      <c r="O101" s="31"/>
      <c r="P101" s="31"/>
      <c r="Q101" s="31"/>
      <c r="R101" s="31"/>
      <c r="S101" s="93"/>
      <c r="T101" s="57"/>
      <c r="U101" s="57"/>
      <c r="V101" s="31"/>
    </row>
    <row r="102" spans="1:22" x14ac:dyDescent="0.2">
      <c r="A102" s="108"/>
      <c r="B102" s="33"/>
      <c r="C102" s="22"/>
      <c r="D102" s="1"/>
      <c r="E102" s="1"/>
      <c r="F102" s="1"/>
      <c r="G102" s="31"/>
      <c r="H102" s="31"/>
      <c r="I102" s="57"/>
      <c r="J102" s="31"/>
      <c r="K102" s="31"/>
      <c r="L102" s="31"/>
      <c r="M102" s="31"/>
      <c r="N102" s="31"/>
      <c r="O102" s="31"/>
      <c r="P102" s="31"/>
      <c r="Q102" s="31"/>
      <c r="R102" s="31"/>
      <c r="S102" s="93"/>
      <c r="T102" s="57"/>
      <c r="U102" s="57"/>
      <c r="V102" s="31"/>
    </row>
    <row r="103" spans="1:22" x14ac:dyDescent="0.2">
      <c r="A103" s="108"/>
      <c r="B103" s="33"/>
      <c r="C103" s="22"/>
      <c r="D103" s="1"/>
      <c r="E103" s="1"/>
      <c r="F103" s="1"/>
      <c r="G103" s="31"/>
      <c r="H103" s="31"/>
      <c r="I103" s="57"/>
      <c r="J103" s="31"/>
      <c r="K103" s="31"/>
      <c r="L103" s="31"/>
      <c r="M103" s="31"/>
      <c r="N103" s="31"/>
      <c r="O103" s="31"/>
      <c r="P103" s="31"/>
      <c r="Q103" s="31"/>
      <c r="R103" s="31"/>
      <c r="S103" s="93"/>
      <c r="T103" s="57"/>
      <c r="U103" s="57"/>
      <c r="V103" s="31"/>
    </row>
    <row r="104" spans="1:22" x14ac:dyDescent="0.2">
      <c r="A104" s="108"/>
      <c r="B104" s="33"/>
      <c r="C104" s="22"/>
      <c r="D104" s="1"/>
      <c r="E104" s="1"/>
      <c r="F104" s="1"/>
      <c r="G104" s="31"/>
      <c r="H104" s="31"/>
      <c r="I104" s="57"/>
      <c r="J104" s="31"/>
      <c r="K104" s="31"/>
      <c r="L104" s="31"/>
      <c r="M104" s="31"/>
      <c r="N104" s="31"/>
      <c r="O104" s="31"/>
      <c r="P104" s="31"/>
      <c r="Q104" s="31"/>
      <c r="R104" s="31"/>
      <c r="S104" s="93"/>
      <c r="T104" s="57"/>
      <c r="U104" s="57"/>
      <c r="V104" s="31"/>
    </row>
    <row r="105" spans="1:22" x14ac:dyDescent="0.2">
      <c r="A105" s="108"/>
      <c r="B105" s="33"/>
      <c r="C105" s="22"/>
      <c r="D105" s="1"/>
      <c r="E105" s="1"/>
      <c r="F105" s="1"/>
      <c r="G105" s="31"/>
      <c r="H105" s="31"/>
      <c r="I105" s="57"/>
      <c r="J105" s="31"/>
      <c r="K105" s="31"/>
      <c r="L105" s="31"/>
      <c r="M105" s="31"/>
      <c r="N105" s="31"/>
      <c r="O105" s="31"/>
      <c r="P105" s="31"/>
      <c r="Q105" s="31"/>
      <c r="R105" s="31"/>
      <c r="S105" s="93"/>
      <c r="T105" s="57"/>
      <c r="U105" s="57"/>
      <c r="V105" s="31"/>
    </row>
    <row r="106" spans="1:22" x14ac:dyDescent="0.2">
      <c r="A106" s="108"/>
      <c r="B106" s="33"/>
      <c r="C106" s="22"/>
      <c r="D106" s="1"/>
      <c r="E106" s="1"/>
      <c r="F106" s="1"/>
      <c r="G106" s="31"/>
      <c r="H106" s="31"/>
      <c r="I106" s="57"/>
      <c r="J106" s="31"/>
      <c r="K106" s="31"/>
      <c r="L106" s="31"/>
      <c r="M106" s="31"/>
      <c r="N106" s="31"/>
      <c r="O106" s="31"/>
      <c r="P106" s="31"/>
      <c r="Q106" s="31"/>
      <c r="R106" s="31"/>
      <c r="S106" s="93"/>
      <c r="T106" s="57"/>
      <c r="U106" s="57"/>
      <c r="V106" s="31"/>
    </row>
    <row r="107" spans="1:22" x14ac:dyDescent="0.2">
      <c r="A107" s="108"/>
      <c r="B107" s="33"/>
      <c r="C107" s="22"/>
      <c r="D107" s="1"/>
      <c r="E107" s="1"/>
      <c r="F107" s="1"/>
      <c r="G107" s="31"/>
      <c r="H107" s="31"/>
      <c r="I107" s="57"/>
      <c r="J107" s="31"/>
      <c r="K107" s="31"/>
      <c r="L107" s="31"/>
      <c r="M107" s="31"/>
      <c r="N107" s="31"/>
      <c r="O107" s="31"/>
      <c r="P107" s="31"/>
      <c r="Q107" s="31"/>
      <c r="R107" s="31"/>
      <c r="S107" s="93"/>
      <c r="T107" s="57"/>
      <c r="U107" s="57"/>
      <c r="V107" s="31"/>
    </row>
    <row r="108" spans="1:22" x14ac:dyDescent="0.2">
      <c r="A108" s="108"/>
      <c r="B108" s="33"/>
      <c r="C108" s="22"/>
      <c r="D108" s="1"/>
      <c r="E108" s="1"/>
      <c r="F108" s="1"/>
      <c r="G108" s="31"/>
      <c r="H108" s="31"/>
      <c r="I108" s="57"/>
      <c r="J108" s="31"/>
      <c r="K108" s="31"/>
      <c r="L108" s="31"/>
      <c r="M108" s="31"/>
      <c r="N108" s="31"/>
      <c r="O108" s="31"/>
      <c r="P108" s="31"/>
      <c r="Q108" s="31"/>
      <c r="R108" s="31"/>
      <c r="S108" s="93"/>
      <c r="T108" s="57"/>
      <c r="U108" s="57"/>
      <c r="V108" s="31"/>
    </row>
    <row r="109" spans="1:22" x14ac:dyDescent="0.2">
      <c r="A109" s="108"/>
      <c r="B109" s="33"/>
      <c r="C109" s="22"/>
      <c r="D109" s="1"/>
      <c r="E109" s="1"/>
      <c r="F109" s="1"/>
      <c r="G109" s="31"/>
      <c r="H109" s="31"/>
      <c r="I109" s="57"/>
      <c r="J109" s="31"/>
      <c r="K109" s="31"/>
      <c r="L109" s="31"/>
      <c r="M109" s="31"/>
      <c r="N109" s="31"/>
      <c r="O109" s="31"/>
      <c r="P109" s="31"/>
      <c r="Q109" s="31"/>
      <c r="R109" s="31"/>
      <c r="S109" s="93"/>
      <c r="T109" s="57"/>
      <c r="U109" s="57"/>
      <c r="V109" s="31"/>
    </row>
    <row r="110" spans="1:22" x14ac:dyDescent="0.2">
      <c r="A110" s="108"/>
      <c r="B110" s="33"/>
      <c r="C110" s="22"/>
      <c r="D110" s="1"/>
      <c r="E110" s="1"/>
      <c r="F110" s="1"/>
      <c r="G110" s="31"/>
      <c r="H110" s="31"/>
      <c r="I110" s="57"/>
      <c r="J110" s="31"/>
      <c r="K110" s="31"/>
      <c r="L110" s="31"/>
      <c r="M110" s="31"/>
      <c r="N110" s="31"/>
      <c r="O110" s="31"/>
      <c r="P110" s="31"/>
      <c r="Q110" s="31"/>
      <c r="R110" s="31"/>
      <c r="S110" s="93"/>
      <c r="T110" s="57"/>
      <c r="U110" s="57"/>
      <c r="V110" s="31"/>
    </row>
    <row r="111" spans="1:22" x14ac:dyDescent="0.2">
      <c r="A111" s="108"/>
      <c r="B111" s="33"/>
      <c r="C111" s="22"/>
      <c r="D111" s="1"/>
      <c r="E111" s="1"/>
      <c r="F111" s="1"/>
      <c r="G111" s="31"/>
      <c r="H111" s="31"/>
      <c r="I111" s="57"/>
      <c r="J111" s="31"/>
      <c r="K111" s="31"/>
      <c r="L111" s="31"/>
      <c r="M111" s="31"/>
      <c r="N111" s="31"/>
      <c r="O111" s="31"/>
      <c r="P111" s="31"/>
      <c r="Q111" s="31"/>
      <c r="R111" s="31"/>
      <c r="S111" s="93"/>
      <c r="T111" s="57"/>
      <c r="U111" s="57"/>
      <c r="V111" s="31"/>
    </row>
    <row r="112" spans="1:22" x14ac:dyDescent="0.2">
      <c r="A112" s="108"/>
      <c r="B112" s="33"/>
      <c r="C112" s="22"/>
      <c r="D112" s="1"/>
      <c r="E112" s="1"/>
      <c r="F112" s="1"/>
      <c r="G112" s="31"/>
      <c r="H112" s="31"/>
      <c r="I112" s="57"/>
      <c r="J112" s="31"/>
      <c r="K112" s="31"/>
      <c r="L112" s="31"/>
      <c r="M112" s="31"/>
      <c r="N112" s="31"/>
      <c r="O112" s="31"/>
      <c r="P112" s="31"/>
      <c r="Q112" s="31"/>
      <c r="R112" s="31"/>
      <c r="S112" s="93"/>
      <c r="T112" s="57"/>
      <c r="U112" s="57"/>
      <c r="V112" s="31"/>
    </row>
    <row r="113" spans="1:22" x14ac:dyDescent="0.2">
      <c r="A113" s="108"/>
      <c r="B113" s="33"/>
      <c r="C113" s="22"/>
      <c r="D113" s="1"/>
      <c r="E113" s="1"/>
      <c r="F113" s="1"/>
      <c r="G113" s="31"/>
      <c r="H113" s="31"/>
      <c r="I113" s="57"/>
      <c r="J113" s="31"/>
      <c r="K113" s="31"/>
      <c r="L113" s="31"/>
      <c r="M113" s="31"/>
      <c r="N113" s="31"/>
      <c r="O113" s="31"/>
      <c r="P113" s="31"/>
      <c r="Q113" s="31"/>
      <c r="R113" s="31"/>
      <c r="S113" s="93"/>
      <c r="T113" s="57"/>
      <c r="U113" s="57"/>
      <c r="V113" s="31"/>
    </row>
    <row r="114" spans="1:22" x14ac:dyDescent="0.2">
      <c r="A114" s="108"/>
      <c r="B114" s="33"/>
      <c r="C114" s="22"/>
      <c r="D114" s="1"/>
      <c r="E114" s="1"/>
      <c r="F114" s="1"/>
      <c r="G114" s="31"/>
      <c r="H114" s="31"/>
      <c r="I114" s="57"/>
      <c r="J114" s="31"/>
      <c r="K114" s="31"/>
      <c r="L114" s="31"/>
      <c r="M114" s="31"/>
      <c r="N114" s="31"/>
      <c r="O114" s="31"/>
      <c r="P114" s="31"/>
      <c r="Q114" s="31"/>
      <c r="R114" s="31"/>
      <c r="S114" s="93"/>
      <c r="T114" s="57"/>
      <c r="U114" s="57"/>
      <c r="V114" s="31"/>
    </row>
    <row r="115" spans="1:22" x14ac:dyDescent="0.2">
      <c r="A115" s="108"/>
      <c r="B115" s="33"/>
      <c r="C115" s="22"/>
      <c r="D115" s="1"/>
      <c r="E115" s="1"/>
      <c r="F115" s="1"/>
      <c r="G115" s="31"/>
      <c r="H115" s="31"/>
      <c r="I115" s="57"/>
      <c r="J115" s="31"/>
      <c r="K115" s="31"/>
      <c r="L115" s="31"/>
      <c r="M115" s="31"/>
      <c r="N115" s="31"/>
      <c r="O115" s="31"/>
      <c r="P115" s="31"/>
      <c r="Q115" s="31"/>
      <c r="R115" s="31"/>
      <c r="S115" s="93"/>
      <c r="T115" s="57"/>
      <c r="U115" s="57"/>
      <c r="V115" s="31"/>
    </row>
    <row r="116" spans="1:22" x14ac:dyDescent="0.2">
      <c r="A116" s="108"/>
      <c r="B116" s="33"/>
      <c r="C116" s="22"/>
      <c r="D116" s="1"/>
      <c r="E116" s="1"/>
      <c r="F116" s="1"/>
      <c r="G116" s="31"/>
      <c r="H116" s="31"/>
      <c r="I116" s="57"/>
      <c r="J116" s="31"/>
      <c r="K116" s="31"/>
      <c r="L116" s="31"/>
      <c r="M116" s="31"/>
      <c r="N116" s="31"/>
      <c r="O116" s="31"/>
      <c r="P116" s="31"/>
      <c r="Q116" s="31"/>
      <c r="R116" s="31"/>
      <c r="S116" s="93"/>
      <c r="T116" s="57"/>
      <c r="U116" s="57"/>
      <c r="V116" s="31"/>
    </row>
    <row r="117" spans="1:22" x14ac:dyDescent="0.2">
      <c r="A117" s="108"/>
      <c r="B117" s="33"/>
      <c r="C117" s="22"/>
      <c r="D117" s="1"/>
      <c r="E117" s="1"/>
      <c r="F117" s="1"/>
      <c r="G117" s="31"/>
      <c r="H117" s="31"/>
      <c r="I117" s="57"/>
      <c r="J117" s="31"/>
      <c r="K117" s="31"/>
      <c r="L117" s="31"/>
      <c r="M117" s="31"/>
      <c r="N117" s="31"/>
      <c r="O117" s="31"/>
      <c r="P117" s="31"/>
      <c r="Q117" s="31"/>
      <c r="R117" s="31"/>
      <c r="S117" s="93"/>
      <c r="T117" s="57"/>
      <c r="U117" s="57"/>
      <c r="V117" s="31"/>
    </row>
    <row r="118" spans="1:22" x14ac:dyDescent="0.2">
      <c r="A118" s="108"/>
      <c r="B118" s="33"/>
      <c r="C118" s="22"/>
      <c r="D118" s="1"/>
      <c r="E118" s="1"/>
      <c r="F118" s="1"/>
      <c r="G118" s="31"/>
      <c r="H118" s="31"/>
      <c r="I118" s="57"/>
      <c r="J118" s="31"/>
      <c r="K118" s="31"/>
      <c r="L118" s="31"/>
      <c r="M118" s="31"/>
      <c r="N118" s="31"/>
      <c r="O118" s="31"/>
      <c r="P118" s="31"/>
      <c r="Q118" s="31"/>
      <c r="R118" s="31"/>
      <c r="S118" s="93"/>
      <c r="T118" s="57"/>
      <c r="U118" s="57"/>
      <c r="V118" s="31"/>
    </row>
    <row r="119" spans="1:22" x14ac:dyDescent="0.2">
      <c r="A119" s="108"/>
      <c r="B119" s="33"/>
      <c r="C119" s="22"/>
      <c r="D119" s="1"/>
      <c r="E119" s="1"/>
      <c r="F119" s="1"/>
      <c r="G119" s="31"/>
      <c r="H119" s="31"/>
      <c r="I119" s="57"/>
      <c r="J119" s="31"/>
      <c r="K119" s="31"/>
      <c r="L119" s="31"/>
      <c r="M119" s="31"/>
      <c r="N119" s="31"/>
      <c r="O119" s="31"/>
      <c r="P119" s="31"/>
      <c r="Q119" s="31"/>
      <c r="R119" s="31"/>
      <c r="S119" s="93"/>
      <c r="T119" s="57"/>
      <c r="U119" s="57"/>
      <c r="V119" s="31"/>
    </row>
    <row r="120" spans="1:22" x14ac:dyDescent="0.2">
      <c r="A120" s="108"/>
      <c r="B120" s="33"/>
      <c r="C120" s="22"/>
      <c r="D120" s="1"/>
      <c r="E120" s="1"/>
      <c r="F120" s="1"/>
      <c r="G120" s="31"/>
      <c r="H120" s="31"/>
      <c r="I120" s="57"/>
      <c r="J120" s="31"/>
      <c r="K120" s="31"/>
      <c r="L120" s="31"/>
      <c r="M120" s="31"/>
      <c r="N120" s="31"/>
      <c r="O120" s="31"/>
      <c r="P120" s="31"/>
      <c r="Q120" s="31"/>
      <c r="R120" s="31"/>
      <c r="S120" s="93"/>
      <c r="T120" s="57"/>
      <c r="U120" s="57"/>
      <c r="V120" s="31"/>
    </row>
    <row r="121" spans="1:22" x14ac:dyDescent="0.2">
      <c r="A121" s="108"/>
      <c r="B121" s="33"/>
      <c r="C121" s="22"/>
      <c r="D121" s="1"/>
      <c r="E121" s="1"/>
      <c r="F121" s="1"/>
      <c r="G121" s="31"/>
      <c r="H121" s="31"/>
      <c r="I121" s="57"/>
      <c r="J121" s="31"/>
      <c r="K121" s="31"/>
      <c r="L121" s="31"/>
      <c r="M121" s="31"/>
      <c r="N121" s="31"/>
      <c r="O121" s="31"/>
      <c r="P121" s="31"/>
      <c r="Q121" s="31"/>
      <c r="R121" s="31"/>
      <c r="S121" s="93"/>
      <c r="T121" s="57"/>
      <c r="U121" s="57"/>
      <c r="V121" s="31"/>
    </row>
    <row r="122" spans="1:22" x14ac:dyDescent="0.2">
      <c r="A122" s="108"/>
      <c r="B122" s="33"/>
      <c r="C122" s="22"/>
      <c r="D122" s="1"/>
      <c r="E122" s="1"/>
      <c r="F122" s="1"/>
      <c r="G122" s="31"/>
      <c r="H122" s="31"/>
      <c r="I122" s="57"/>
      <c r="J122" s="31"/>
      <c r="K122" s="31"/>
      <c r="L122" s="31"/>
      <c r="M122" s="31"/>
      <c r="N122" s="31"/>
      <c r="O122" s="31"/>
      <c r="P122" s="31"/>
      <c r="Q122" s="31"/>
      <c r="R122" s="31"/>
      <c r="S122" s="93"/>
      <c r="T122" s="57"/>
      <c r="U122" s="57"/>
      <c r="V122" s="31"/>
    </row>
    <row r="123" spans="1:22" x14ac:dyDescent="0.2">
      <c r="A123" s="108"/>
      <c r="B123" s="33"/>
      <c r="C123" s="22"/>
      <c r="D123" s="1"/>
      <c r="E123" s="1"/>
      <c r="F123" s="1"/>
      <c r="G123" s="31"/>
      <c r="H123" s="31"/>
      <c r="I123" s="57"/>
      <c r="J123" s="31"/>
      <c r="K123" s="31"/>
      <c r="L123" s="31"/>
      <c r="M123" s="31"/>
      <c r="N123" s="31"/>
      <c r="O123" s="31"/>
      <c r="P123" s="31"/>
      <c r="Q123" s="31"/>
      <c r="R123" s="31"/>
      <c r="S123" s="93"/>
      <c r="T123" s="57"/>
      <c r="U123" s="57"/>
      <c r="V123" s="31"/>
    </row>
    <row r="124" spans="1:22" x14ac:dyDescent="0.2">
      <c r="A124" s="108"/>
      <c r="B124" s="33"/>
      <c r="C124" s="22"/>
      <c r="D124" s="1"/>
      <c r="E124" s="1"/>
      <c r="F124" s="1"/>
      <c r="G124" s="31"/>
      <c r="H124" s="31"/>
      <c r="I124" s="57"/>
      <c r="J124" s="31"/>
      <c r="K124" s="31"/>
      <c r="L124" s="31"/>
      <c r="M124" s="31"/>
      <c r="N124" s="31"/>
      <c r="O124" s="31"/>
      <c r="P124" s="31"/>
      <c r="Q124" s="31"/>
      <c r="R124" s="31"/>
      <c r="S124" s="93"/>
      <c r="T124" s="57"/>
      <c r="U124" s="57"/>
      <c r="V124" s="31"/>
    </row>
    <row r="125" spans="1:22" x14ac:dyDescent="0.2">
      <c r="A125" s="108"/>
      <c r="B125" s="33"/>
      <c r="C125" s="22"/>
      <c r="D125" s="1"/>
      <c r="E125" s="1"/>
      <c r="F125" s="1"/>
      <c r="G125" s="31"/>
      <c r="H125" s="31"/>
      <c r="I125" s="57"/>
      <c r="J125" s="31"/>
      <c r="K125" s="31"/>
      <c r="L125" s="31"/>
      <c r="M125" s="31"/>
      <c r="N125" s="31"/>
      <c r="O125" s="31"/>
      <c r="P125" s="31"/>
      <c r="Q125" s="31"/>
      <c r="R125" s="31"/>
      <c r="S125" s="93"/>
      <c r="T125" s="57"/>
      <c r="U125" s="57"/>
      <c r="V125" s="31"/>
    </row>
    <row r="126" spans="1:22" x14ac:dyDescent="0.2">
      <c r="A126" s="108"/>
      <c r="B126" s="33"/>
      <c r="C126" s="22"/>
      <c r="D126" s="1"/>
      <c r="E126" s="1"/>
      <c r="F126" s="1"/>
      <c r="G126" s="31"/>
      <c r="H126" s="31"/>
      <c r="I126" s="57"/>
      <c r="J126" s="31"/>
      <c r="K126" s="31"/>
      <c r="L126" s="31"/>
      <c r="M126" s="31"/>
      <c r="N126" s="31"/>
      <c r="O126" s="31"/>
      <c r="P126" s="31"/>
      <c r="Q126" s="31"/>
      <c r="R126" s="31"/>
      <c r="S126" s="93"/>
      <c r="T126" s="57"/>
      <c r="U126" s="57"/>
      <c r="V126" s="31"/>
    </row>
    <row r="127" spans="1:22" x14ac:dyDescent="0.2">
      <c r="A127" s="108"/>
      <c r="B127" s="33"/>
      <c r="C127" s="22"/>
      <c r="D127" s="1"/>
      <c r="E127" s="1"/>
      <c r="F127" s="1"/>
      <c r="G127" s="31"/>
      <c r="H127" s="31"/>
      <c r="I127" s="57"/>
      <c r="J127" s="31"/>
      <c r="K127" s="31"/>
      <c r="L127" s="31"/>
      <c r="M127" s="31"/>
      <c r="N127" s="31"/>
      <c r="O127" s="31"/>
      <c r="P127" s="31"/>
      <c r="Q127" s="31"/>
      <c r="R127" s="31"/>
      <c r="S127" s="93"/>
      <c r="T127" s="57"/>
      <c r="U127" s="57"/>
      <c r="V127" s="31"/>
    </row>
    <row r="128" spans="1:22" x14ac:dyDescent="0.2">
      <c r="A128" s="108"/>
      <c r="B128" s="33"/>
      <c r="C128" s="22"/>
      <c r="D128" s="1"/>
      <c r="E128" s="1"/>
      <c r="F128" s="1"/>
      <c r="G128" s="31"/>
      <c r="H128" s="31"/>
      <c r="I128" s="57"/>
      <c r="J128" s="31"/>
      <c r="K128" s="31"/>
      <c r="L128" s="31"/>
      <c r="M128" s="31"/>
      <c r="N128" s="31"/>
      <c r="O128" s="31"/>
      <c r="P128" s="31"/>
      <c r="Q128" s="31"/>
      <c r="R128" s="31"/>
      <c r="S128" s="93"/>
      <c r="T128" s="57"/>
      <c r="U128" s="57"/>
      <c r="V128" s="31"/>
    </row>
    <row r="129" spans="1:22" x14ac:dyDescent="0.2">
      <c r="A129" s="108"/>
      <c r="B129" s="33"/>
      <c r="C129" s="22"/>
      <c r="D129" s="1"/>
      <c r="E129" s="1"/>
      <c r="F129" s="1"/>
      <c r="G129" s="31"/>
      <c r="H129" s="31"/>
      <c r="I129" s="57"/>
      <c r="J129" s="31"/>
      <c r="K129" s="31"/>
      <c r="L129" s="31"/>
      <c r="M129" s="31"/>
      <c r="N129" s="31"/>
      <c r="O129" s="31"/>
      <c r="P129" s="31"/>
      <c r="Q129" s="31"/>
      <c r="R129" s="31"/>
      <c r="S129" s="93"/>
      <c r="T129" s="57"/>
      <c r="U129" s="57"/>
      <c r="V129" s="31"/>
    </row>
    <row r="130" spans="1:22" x14ac:dyDescent="0.2">
      <c r="A130" s="108"/>
      <c r="B130" s="33"/>
      <c r="C130" s="22"/>
      <c r="D130" s="1"/>
      <c r="E130" s="1"/>
      <c r="F130" s="1"/>
      <c r="G130" s="31"/>
      <c r="H130" s="31"/>
      <c r="I130" s="57"/>
      <c r="J130" s="31"/>
      <c r="K130" s="31"/>
      <c r="L130" s="31"/>
      <c r="M130" s="31"/>
      <c r="N130" s="31"/>
      <c r="O130" s="31"/>
      <c r="P130" s="31"/>
      <c r="Q130" s="31"/>
      <c r="R130" s="31"/>
      <c r="S130" s="93"/>
      <c r="T130" s="57"/>
      <c r="U130" s="57"/>
      <c r="V130" s="31"/>
    </row>
    <row r="131" spans="1:22" x14ac:dyDescent="0.2">
      <c r="A131" s="108"/>
      <c r="B131" s="33"/>
      <c r="C131" s="22"/>
      <c r="D131" s="1"/>
      <c r="E131" s="1"/>
      <c r="F131" s="1"/>
      <c r="G131" s="31"/>
      <c r="H131" s="31"/>
      <c r="I131" s="57"/>
      <c r="J131" s="31"/>
      <c r="K131" s="31"/>
      <c r="L131" s="31"/>
      <c r="M131" s="31"/>
      <c r="N131" s="31"/>
      <c r="O131" s="31"/>
      <c r="P131" s="31"/>
      <c r="Q131" s="31"/>
      <c r="R131" s="31"/>
      <c r="S131" s="93"/>
      <c r="T131" s="57"/>
      <c r="U131" s="57"/>
      <c r="V131" s="31"/>
    </row>
    <row r="132" spans="1:22" x14ac:dyDescent="0.2">
      <c r="A132" s="108"/>
      <c r="B132" s="33"/>
      <c r="C132" s="22"/>
      <c r="D132" s="1"/>
      <c r="E132" s="1"/>
      <c r="F132" s="1"/>
      <c r="G132" s="31"/>
      <c r="H132" s="31"/>
      <c r="I132" s="57"/>
      <c r="J132" s="31"/>
      <c r="K132" s="31"/>
      <c r="L132" s="31"/>
      <c r="M132" s="31"/>
      <c r="N132" s="31"/>
      <c r="O132" s="31"/>
      <c r="P132" s="31"/>
      <c r="Q132" s="31"/>
      <c r="R132" s="31"/>
      <c r="S132" s="93"/>
      <c r="T132" s="57"/>
      <c r="U132" s="57"/>
      <c r="V132" s="31"/>
    </row>
    <row r="133" spans="1:22" x14ac:dyDescent="0.2">
      <c r="A133" s="108"/>
      <c r="B133" s="33"/>
      <c r="C133" s="22"/>
      <c r="D133" s="1"/>
      <c r="E133" s="1"/>
      <c r="F133" s="1"/>
      <c r="G133" s="31"/>
      <c r="H133" s="31"/>
      <c r="I133" s="57"/>
      <c r="J133" s="31"/>
      <c r="K133" s="31"/>
      <c r="L133" s="31"/>
      <c r="M133" s="31"/>
      <c r="N133" s="31"/>
      <c r="O133" s="31"/>
      <c r="P133" s="31"/>
      <c r="Q133" s="31"/>
      <c r="R133" s="31"/>
      <c r="S133" s="93"/>
      <c r="T133" s="57"/>
      <c r="U133" s="57"/>
      <c r="V133" s="31"/>
    </row>
    <row r="134" spans="1:22" x14ac:dyDescent="0.2">
      <c r="A134" s="108"/>
      <c r="B134" s="33"/>
      <c r="C134" s="22"/>
      <c r="D134" s="1"/>
      <c r="E134" s="1"/>
      <c r="F134" s="1"/>
      <c r="G134" s="31"/>
      <c r="H134" s="31"/>
      <c r="I134" s="57"/>
      <c r="J134" s="31"/>
      <c r="K134" s="31"/>
      <c r="L134" s="31"/>
      <c r="M134" s="31"/>
      <c r="N134" s="31"/>
      <c r="O134" s="31"/>
      <c r="P134" s="31"/>
      <c r="Q134" s="31"/>
      <c r="R134" s="31"/>
      <c r="S134" s="93"/>
      <c r="T134" s="57"/>
      <c r="U134" s="57"/>
      <c r="V134" s="31"/>
    </row>
    <row r="135" spans="1:22" x14ac:dyDescent="0.2">
      <c r="A135" s="108"/>
      <c r="B135" s="33"/>
      <c r="C135" s="22"/>
      <c r="D135" s="1"/>
      <c r="E135" s="1"/>
      <c r="F135" s="1"/>
      <c r="G135" s="31"/>
      <c r="H135" s="31"/>
      <c r="I135" s="57"/>
      <c r="J135" s="31"/>
      <c r="K135" s="31"/>
      <c r="L135" s="31"/>
      <c r="M135" s="31"/>
      <c r="N135" s="31"/>
      <c r="O135" s="31"/>
      <c r="P135" s="31"/>
      <c r="Q135" s="31"/>
      <c r="R135" s="31"/>
      <c r="S135" s="93"/>
      <c r="T135" s="57"/>
      <c r="U135" s="57"/>
      <c r="V135" s="31"/>
    </row>
    <row r="136" spans="1:22" x14ac:dyDescent="0.2">
      <c r="A136" s="108"/>
      <c r="B136" s="33"/>
      <c r="C136" s="22"/>
      <c r="D136" s="1"/>
      <c r="E136" s="1"/>
      <c r="F136" s="1"/>
      <c r="G136" s="31"/>
      <c r="H136" s="31"/>
      <c r="I136" s="57"/>
      <c r="J136" s="31"/>
      <c r="K136" s="31"/>
      <c r="L136" s="31"/>
      <c r="M136" s="31"/>
      <c r="N136" s="31"/>
      <c r="O136" s="31"/>
      <c r="P136" s="31"/>
      <c r="Q136" s="31"/>
      <c r="R136" s="31"/>
      <c r="S136" s="93"/>
      <c r="T136" s="57"/>
      <c r="U136" s="57"/>
      <c r="V136" s="31"/>
    </row>
    <row r="137" spans="1:22" x14ac:dyDescent="0.2">
      <c r="A137" s="108"/>
      <c r="B137" s="33"/>
      <c r="C137" s="22"/>
      <c r="D137" s="1"/>
      <c r="E137" s="1"/>
      <c r="F137" s="1"/>
      <c r="G137" s="31"/>
      <c r="H137" s="31"/>
      <c r="I137" s="57"/>
      <c r="J137" s="31"/>
      <c r="K137" s="31"/>
      <c r="L137" s="31"/>
      <c r="M137" s="31"/>
      <c r="N137" s="31"/>
      <c r="O137" s="31"/>
      <c r="P137" s="31"/>
      <c r="Q137" s="31"/>
      <c r="R137" s="31"/>
      <c r="S137" s="93"/>
      <c r="T137" s="57"/>
      <c r="U137" s="57"/>
      <c r="V137" s="31"/>
    </row>
    <row r="138" spans="1:22" x14ac:dyDescent="0.2">
      <c r="A138" s="108"/>
      <c r="B138" s="33"/>
      <c r="C138" s="22"/>
      <c r="D138" s="1"/>
      <c r="E138" s="1"/>
      <c r="F138" s="1"/>
      <c r="G138" s="31"/>
      <c r="H138" s="31"/>
      <c r="I138" s="57"/>
      <c r="J138" s="31"/>
      <c r="K138" s="31"/>
      <c r="L138" s="31"/>
      <c r="M138" s="31"/>
      <c r="N138" s="31"/>
      <c r="O138" s="31"/>
      <c r="P138" s="31"/>
      <c r="Q138" s="31"/>
      <c r="R138" s="31"/>
      <c r="S138" s="93"/>
      <c r="T138" s="57"/>
      <c r="U138" s="57"/>
      <c r="V138" s="31"/>
    </row>
    <row r="139" spans="1:22" x14ac:dyDescent="0.2">
      <c r="A139" s="108"/>
      <c r="B139" s="33"/>
      <c r="C139" s="22"/>
      <c r="D139" s="1"/>
      <c r="E139" s="1"/>
      <c r="F139" s="1"/>
      <c r="G139" s="31"/>
      <c r="H139" s="31"/>
      <c r="I139" s="57"/>
      <c r="J139" s="31"/>
      <c r="K139" s="31"/>
      <c r="L139" s="31"/>
      <c r="M139" s="31"/>
      <c r="N139" s="31"/>
      <c r="O139" s="31"/>
      <c r="P139" s="31"/>
      <c r="Q139" s="31"/>
      <c r="R139" s="31"/>
      <c r="S139" s="93"/>
      <c r="T139" s="57"/>
      <c r="U139" s="57"/>
      <c r="V139" s="31"/>
    </row>
    <row r="140" spans="1:22" x14ac:dyDescent="0.2">
      <c r="A140" s="108"/>
      <c r="B140" s="33"/>
      <c r="C140" s="22"/>
      <c r="D140" s="1"/>
      <c r="E140" s="1"/>
      <c r="F140" s="1"/>
      <c r="G140" s="31"/>
      <c r="H140" s="31"/>
      <c r="I140" s="57"/>
      <c r="J140" s="31"/>
      <c r="K140" s="31"/>
      <c r="L140" s="31"/>
      <c r="M140" s="31"/>
      <c r="N140" s="31"/>
      <c r="O140" s="31"/>
      <c r="P140" s="31"/>
      <c r="Q140" s="31"/>
      <c r="R140" s="31"/>
      <c r="S140" s="93"/>
      <c r="T140" s="57"/>
      <c r="U140" s="57"/>
      <c r="V140" s="31"/>
    </row>
    <row r="141" spans="1:22" x14ac:dyDescent="0.2">
      <c r="A141" s="108"/>
      <c r="B141" s="33"/>
      <c r="C141" s="22"/>
      <c r="D141" s="1"/>
      <c r="E141" s="1"/>
      <c r="F141" s="1"/>
      <c r="G141" s="31"/>
      <c r="H141" s="31"/>
      <c r="I141" s="57"/>
      <c r="J141" s="31"/>
      <c r="K141" s="31"/>
      <c r="L141" s="31"/>
      <c r="M141" s="31"/>
      <c r="N141" s="31"/>
      <c r="O141" s="31"/>
      <c r="P141" s="31"/>
      <c r="Q141" s="31"/>
      <c r="R141" s="31"/>
      <c r="S141" s="93"/>
      <c r="T141" s="57"/>
      <c r="U141" s="57"/>
      <c r="V141" s="31"/>
    </row>
    <row r="142" spans="1:22" x14ac:dyDescent="0.2">
      <c r="A142" s="108"/>
      <c r="B142" s="33"/>
      <c r="C142" s="22"/>
      <c r="D142" s="1"/>
      <c r="E142" s="1"/>
      <c r="F142" s="1"/>
      <c r="G142" s="31"/>
      <c r="H142" s="31"/>
      <c r="I142" s="57"/>
      <c r="J142" s="31"/>
      <c r="K142" s="31"/>
      <c r="L142" s="31"/>
      <c r="M142" s="31"/>
      <c r="N142" s="31"/>
      <c r="O142" s="31"/>
      <c r="P142" s="31"/>
      <c r="Q142" s="31"/>
      <c r="R142" s="31"/>
      <c r="S142" s="93"/>
      <c r="T142" s="57"/>
      <c r="U142" s="57"/>
      <c r="V142" s="31"/>
    </row>
    <row r="143" spans="1:22" x14ac:dyDescent="0.2">
      <c r="A143" s="108"/>
      <c r="B143" s="33"/>
      <c r="C143" s="22"/>
      <c r="D143" s="1"/>
      <c r="E143" s="1"/>
      <c r="F143" s="1"/>
      <c r="G143" s="31"/>
      <c r="H143" s="31"/>
      <c r="I143" s="57"/>
      <c r="J143" s="31"/>
      <c r="K143" s="31"/>
      <c r="L143" s="31"/>
      <c r="M143" s="31"/>
      <c r="N143" s="31"/>
      <c r="O143" s="31"/>
      <c r="P143" s="31"/>
      <c r="Q143" s="31"/>
      <c r="R143" s="31"/>
      <c r="S143" s="93"/>
      <c r="T143" s="57"/>
      <c r="U143" s="57"/>
      <c r="V143" s="31"/>
    </row>
    <row r="144" spans="1:22" x14ac:dyDescent="0.2">
      <c r="A144" s="108"/>
      <c r="B144" s="33"/>
      <c r="C144" s="22"/>
      <c r="D144" s="1"/>
      <c r="E144" s="1"/>
      <c r="F144" s="1"/>
      <c r="G144" s="31"/>
      <c r="H144" s="31"/>
      <c r="I144" s="57"/>
      <c r="J144" s="31"/>
      <c r="K144" s="31"/>
      <c r="L144" s="31"/>
      <c r="M144" s="31"/>
      <c r="N144" s="31"/>
      <c r="O144" s="31"/>
      <c r="P144" s="31"/>
      <c r="Q144" s="31"/>
      <c r="R144" s="31"/>
      <c r="S144" s="93"/>
      <c r="T144" s="57"/>
      <c r="U144" s="57"/>
      <c r="V144" s="31"/>
    </row>
    <row r="145" spans="1:22" x14ac:dyDescent="0.2">
      <c r="A145" s="108"/>
      <c r="B145" s="33"/>
      <c r="C145" s="22"/>
      <c r="D145" s="1"/>
      <c r="E145" s="1"/>
      <c r="F145" s="1"/>
      <c r="G145" s="31"/>
      <c r="H145" s="31"/>
      <c r="I145" s="57"/>
      <c r="J145" s="31"/>
      <c r="K145" s="31"/>
      <c r="L145" s="31"/>
      <c r="M145" s="31"/>
      <c r="N145" s="31"/>
      <c r="O145" s="31"/>
      <c r="P145" s="31"/>
      <c r="Q145" s="31"/>
      <c r="R145" s="31"/>
      <c r="S145" s="93"/>
      <c r="T145" s="57"/>
      <c r="U145" s="57"/>
      <c r="V145" s="31"/>
    </row>
    <row r="146" spans="1:22" x14ac:dyDescent="0.2">
      <c r="A146" s="108"/>
      <c r="B146" s="33"/>
      <c r="C146" s="22"/>
      <c r="D146" s="1"/>
      <c r="E146" s="1"/>
      <c r="F146" s="1"/>
      <c r="G146" s="31"/>
      <c r="H146" s="31"/>
      <c r="I146" s="57"/>
      <c r="J146" s="31"/>
      <c r="K146" s="31"/>
      <c r="L146" s="31"/>
      <c r="M146" s="31"/>
      <c r="N146" s="31"/>
      <c r="O146" s="31"/>
      <c r="P146" s="31"/>
      <c r="Q146" s="31"/>
      <c r="R146" s="31"/>
      <c r="S146" s="93"/>
      <c r="T146" s="57"/>
      <c r="U146" s="57"/>
      <c r="V146" s="31"/>
    </row>
    <row r="147" spans="1:22" x14ac:dyDescent="0.2">
      <c r="A147" s="108"/>
      <c r="B147" s="33"/>
      <c r="C147" s="22"/>
      <c r="D147" s="1"/>
      <c r="E147" s="1"/>
      <c r="F147" s="1"/>
      <c r="G147" s="31"/>
      <c r="H147" s="31"/>
      <c r="I147" s="57"/>
      <c r="J147" s="31"/>
      <c r="K147" s="31"/>
      <c r="L147" s="31"/>
      <c r="M147" s="31"/>
      <c r="N147" s="31"/>
      <c r="O147" s="31"/>
      <c r="P147" s="31"/>
      <c r="Q147" s="31"/>
      <c r="R147" s="31"/>
      <c r="S147" s="93"/>
      <c r="T147" s="57"/>
      <c r="U147" s="57"/>
      <c r="V147" s="31"/>
    </row>
    <row r="148" spans="1:22" x14ac:dyDescent="0.2">
      <c r="A148" s="108"/>
      <c r="B148" s="33"/>
      <c r="C148" s="22"/>
      <c r="D148" s="1"/>
      <c r="E148" s="1"/>
      <c r="F148" s="1"/>
      <c r="G148" s="31"/>
      <c r="H148" s="31"/>
      <c r="I148" s="57"/>
      <c r="J148" s="31"/>
      <c r="K148" s="31"/>
      <c r="L148" s="31"/>
      <c r="M148" s="31"/>
      <c r="N148" s="31"/>
      <c r="O148" s="31"/>
      <c r="P148" s="31"/>
      <c r="Q148" s="31"/>
      <c r="R148" s="31"/>
      <c r="S148" s="93"/>
      <c r="T148" s="57"/>
      <c r="U148" s="57"/>
      <c r="V148" s="31"/>
    </row>
    <row r="149" spans="1:22" x14ac:dyDescent="0.2">
      <c r="A149" s="108"/>
      <c r="B149" s="33"/>
      <c r="C149" s="22"/>
      <c r="D149" s="1"/>
      <c r="E149" s="1"/>
      <c r="F149" s="1"/>
      <c r="G149" s="31"/>
      <c r="H149" s="31"/>
      <c r="I149" s="57"/>
      <c r="J149" s="31"/>
      <c r="K149" s="31"/>
      <c r="L149" s="31"/>
      <c r="M149" s="31"/>
      <c r="N149" s="31"/>
      <c r="O149" s="31"/>
      <c r="P149" s="31"/>
      <c r="Q149" s="31"/>
      <c r="R149" s="31"/>
      <c r="S149" s="93"/>
      <c r="T149" s="57"/>
      <c r="U149" s="57"/>
      <c r="V149" s="31"/>
    </row>
    <row r="150" spans="1:22" x14ac:dyDescent="0.2">
      <c r="A150" s="108"/>
      <c r="B150" s="33"/>
      <c r="C150" s="22"/>
      <c r="D150" s="1"/>
      <c r="E150" s="1"/>
      <c r="F150" s="1"/>
      <c r="G150" s="31"/>
      <c r="H150" s="31"/>
      <c r="I150" s="57"/>
      <c r="J150" s="31"/>
      <c r="K150" s="31"/>
      <c r="L150" s="31"/>
      <c r="M150" s="31"/>
      <c r="N150" s="31"/>
      <c r="O150" s="31"/>
      <c r="P150" s="31"/>
      <c r="Q150" s="31"/>
      <c r="R150" s="31"/>
      <c r="S150" s="93"/>
      <c r="T150" s="57"/>
      <c r="U150" s="57"/>
      <c r="V150" s="31"/>
    </row>
    <row r="151" spans="1:22" x14ac:dyDescent="0.2">
      <c r="A151" s="108"/>
      <c r="B151" s="33"/>
      <c r="C151" s="22"/>
      <c r="D151" s="1"/>
      <c r="E151" s="1"/>
      <c r="F151" s="1"/>
      <c r="G151" s="31"/>
      <c r="H151" s="31"/>
      <c r="I151" s="57"/>
      <c r="J151" s="31"/>
      <c r="K151" s="31"/>
      <c r="L151" s="31"/>
      <c r="M151" s="31"/>
      <c r="N151" s="31"/>
      <c r="O151" s="31"/>
      <c r="P151" s="31"/>
      <c r="Q151" s="31"/>
      <c r="R151" s="31"/>
      <c r="S151" s="93"/>
      <c r="T151" s="57"/>
      <c r="U151" s="57"/>
      <c r="V151" s="31"/>
    </row>
    <row r="152" spans="1:22" x14ac:dyDescent="0.2">
      <c r="A152" s="108"/>
      <c r="B152" s="33"/>
      <c r="C152" s="22"/>
      <c r="D152" s="1"/>
      <c r="E152" s="1"/>
      <c r="F152" s="1"/>
      <c r="G152" s="31"/>
      <c r="H152" s="31"/>
      <c r="I152" s="57"/>
      <c r="J152" s="31"/>
      <c r="K152" s="31"/>
      <c r="L152" s="31"/>
      <c r="M152" s="31"/>
      <c r="N152" s="31"/>
      <c r="O152" s="31"/>
      <c r="P152" s="31"/>
      <c r="Q152" s="31"/>
      <c r="R152" s="31"/>
      <c r="S152" s="93"/>
      <c r="T152" s="57"/>
      <c r="U152" s="57"/>
      <c r="V152" s="31"/>
    </row>
    <row r="153" spans="1:22" x14ac:dyDescent="0.2">
      <c r="A153" s="108"/>
      <c r="B153" s="33"/>
      <c r="C153" s="22"/>
      <c r="D153" s="1"/>
      <c r="E153" s="1"/>
      <c r="F153" s="1"/>
      <c r="G153" s="31"/>
      <c r="H153" s="31"/>
      <c r="I153" s="57"/>
      <c r="J153" s="31"/>
      <c r="K153" s="31"/>
      <c r="L153" s="31"/>
      <c r="M153" s="31"/>
      <c r="N153" s="31"/>
      <c r="O153" s="31"/>
      <c r="P153" s="31"/>
      <c r="Q153" s="31"/>
      <c r="R153" s="31"/>
      <c r="S153" s="93"/>
      <c r="T153" s="57"/>
      <c r="U153" s="57"/>
      <c r="V153" s="31"/>
    </row>
    <row r="154" spans="1:22" x14ac:dyDescent="0.2">
      <c r="A154" s="108"/>
      <c r="B154" s="33"/>
      <c r="C154" s="22"/>
      <c r="D154" s="1"/>
      <c r="E154" s="1"/>
      <c r="F154" s="1"/>
      <c r="G154" s="31"/>
      <c r="H154" s="31"/>
      <c r="I154" s="57"/>
      <c r="J154" s="31"/>
      <c r="K154" s="31"/>
      <c r="L154" s="31"/>
      <c r="M154" s="31"/>
      <c r="N154" s="31"/>
      <c r="O154" s="31"/>
      <c r="P154" s="31"/>
      <c r="Q154" s="31"/>
      <c r="R154" s="31"/>
      <c r="S154" s="93"/>
      <c r="T154" s="57"/>
      <c r="U154" s="57"/>
      <c r="V154" s="31"/>
    </row>
    <row r="155" spans="1:22" x14ac:dyDescent="0.2">
      <c r="A155" s="108"/>
      <c r="B155" s="33"/>
      <c r="C155" s="22"/>
      <c r="D155" s="1"/>
      <c r="E155" s="1"/>
      <c r="F155" s="1"/>
      <c r="G155" s="31"/>
      <c r="H155" s="31"/>
      <c r="I155" s="57"/>
      <c r="J155" s="31"/>
      <c r="K155" s="31"/>
      <c r="L155" s="31"/>
      <c r="M155" s="31"/>
      <c r="N155" s="31"/>
      <c r="O155" s="31"/>
      <c r="P155" s="31"/>
      <c r="Q155" s="31"/>
      <c r="R155" s="31"/>
      <c r="S155" s="93"/>
      <c r="T155" s="57"/>
      <c r="U155" s="57"/>
      <c r="V155" s="31"/>
    </row>
    <row r="156" spans="1:22" x14ac:dyDescent="0.2">
      <c r="A156" s="108"/>
      <c r="B156" s="33"/>
      <c r="C156" s="22"/>
      <c r="D156" s="1"/>
      <c r="E156" s="1"/>
      <c r="F156" s="1"/>
      <c r="G156" s="31"/>
      <c r="H156" s="31"/>
      <c r="I156" s="57"/>
      <c r="J156" s="31"/>
      <c r="K156" s="31"/>
      <c r="L156" s="31"/>
      <c r="M156" s="31"/>
      <c r="N156" s="31"/>
      <c r="O156" s="31"/>
      <c r="P156" s="31"/>
      <c r="Q156" s="31"/>
      <c r="R156" s="31"/>
      <c r="S156" s="93"/>
      <c r="T156" s="57"/>
      <c r="U156" s="57"/>
      <c r="V156" s="31"/>
    </row>
    <row r="157" spans="1:22" x14ac:dyDescent="0.2">
      <c r="A157" s="108"/>
      <c r="B157" s="33"/>
      <c r="C157" s="22"/>
      <c r="D157" s="1"/>
      <c r="E157" s="1"/>
      <c r="F157" s="1"/>
      <c r="G157" s="31"/>
      <c r="H157" s="31"/>
      <c r="I157" s="57"/>
      <c r="J157" s="31"/>
      <c r="K157" s="31"/>
      <c r="L157" s="31"/>
      <c r="M157" s="31"/>
      <c r="N157" s="31"/>
      <c r="O157" s="31"/>
      <c r="P157" s="31"/>
      <c r="Q157" s="31"/>
      <c r="R157" s="31"/>
      <c r="S157" s="93"/>
      <c r="T157" s="57"/>
      <c r="U157" s="57"/>
      <c r="V157" s="31"/>
    </row>
    <row r="158" spans="1:22" x14ac:dyDescent="0.2">
      <c r="A158" s="108"/>
      <c r="B158" s="33"/>
      <c r="C158" s="22"/>
      <c r="D158" s="1"/>
      <c r="E158" s="1"/>
      <c r="F158" s="1"/>
      <c r="G158" s="31"/>
      <c r="H158" s="31"/>
      <c r="I158" s="57"/>
      <c r="J158" s="31"/>
      <c r="K158" s="31"/>
      <c r="L158" s="31"/>
      <c r="M158" s="31"/>
      <c r="N158" s="31"/>
      <c r="O158" s="31"/>
      <c r="P158" s="31"/>
      <c r="Q158" s="31"/>
      <c r="R158" s="31"/>
      <c r="S158" s="93"/>
      <c r="T158" s="57"/>
      <c r="U158" s="57"/>
      <c r="V158" s="31"/>
    </row>
    <row r="159" spans="1:22" x14ac:dyDescent="0.2">
      <c r="A159" s="108"/>
      <c r="B159" s="33"/>
      <c r="C159" s="22"/>
      <c r="D159" s="1"/>
      <c r="E159" s="1"/>
      <c r="F159" s="1"/>
      <c r="G159" s="31"/>
      <c r="H159" s="31"/>
      <c r="I159" s="57"/>
      <c r="J159" s="31"/>
      <c r="K159" s="31"/>
      <c r="L159" s="31"/>
      <c r="M159" s="31"/>
      <c r="N159" s="31"/>
      <c r="O159" s="31"/>
      <c r="P159" s="31"/>
      <c r="Q159" s="31"/>
      <c r="R159" s="31"/>
      <c r="S159" s="93"/>
      <c r="T159" s="57"/>
      <c r="U159" s="57"/>
      <c r="V159" s="31"/>
    </row>
    <row r="160" spans="1:22" x14ac:dyDescent="0.2">
      <c r="A160" s="108"/>
      <c r="B160" s="33"/>
      <c r="C160" s="22"/>
      <c r="D160" s="1"/>
      <c r="E160" s="1"/>
      <c r="F160" s="1"/>
      <c r="G160" s="31"/>
      <c r="H160" s="31"/>
      <c r="I160" s="57"/>
      <c r="J160" s="31"/>
      <c r="K160" s="31"/>
      <c r="L160" s="31"/>
      <c r="M160" s="31"/>
      <c r="N160" s="31"/>
      <c r="O160" s="31"/>
      <c r="P160" s="31"/>
      <c r="Q160" s="31"/>
      <c r="R160" s="31"/>
      <c r="S160" s="93"/>
      <c r="T160" s="57"/>
      <c r="U160" s="57"/>
      <c r="V160" s="31"/>
    </row>
    <row r="161" spans="1:22" x14ac:dyDescent="0.2">
      <c r="A161" s="108"/>
      <c r="B161" s="33"/>
      <c r="C161" s="22"/>
      <c r="D161" s="1"/>
      <c r="E161" s="1"/>
      <c r="F161" s="1"/>
      <c r="G161" s="31"/>
      <c r="H161" s="31"/>
      <c r="I161" s="57"/>
      <c r="J161" s="31"/>
      <c r="K161" s="31"/>
      <c r="L161" s="31"/>
      <c r="M161" s="31"/>
      <c r="N161" s="31"/>
      <c r="O161" s="31"/>
      <c r="P161" s="31"/>
      <c r="Q161" s="31"/>
      <c r="R161" s="31"/>
      <c r="S161" s="93"/>
      <c r="T161" s="57"/>
      <c r="U161" s="57"/>
      <c r="V161" s="31"/>
    </row>
    <row r="162" spans="1:22" x14ac:dyDescent="0.2">
      <c r="A162" s="108"/>
      <c r="B162" s="33"/>
      <c r="C162" s="22"/>
      <c r="D162" s="1"/>
      <c r="E162" s="1"/>
      <c r="F162" s="1"/>
      <c r="G162" s="31"/>
      <c r="H162" s="31"/>
      <c r="I162" s="57"/>
      <c r="J162" s="31"/>
      <c r="K162" s="31"/>
      <c r="L162" s="31"/>
      <c r="M162" s="31"/>
      <c r="N162" s="31"/>
      <c r="O162" s="31"/>
      <c r="P162" s="31"/>
      <c r="Q162" s="31"/>
      <c r="R162" s="31"/>
      <c r="S162" s="93"/>
      <c r="T162" s="57"/>
      <c r="U162" s="57"/>
      <c r="V162" s="31"/>
    </row>
    <row r="163" spans="1:22" x14ac:dyDescent="0.2">
      <c r="A163" s="108"/>
      <c r="B163" s="33"/>
      <c r="C163" s="22"/>
      <c r="D163" s="1"/>
      <c r="E163" s="1"/>
      <c r="F163" s="1"/>
      <c r="G163" s="31"/>
      <c r="H163" s="31"/>
      <c r="I163" s="57"/>
      <c r="J163" s="31"/>
      <c r="K163" s="31"/>
      <c r="L163" s="31"/>
      <c r="M163" s="31"/>
      <c r="N163" s="31"/>
      <c r="O163" s="31"/>
      <c r="P163" s="31"/>
      <c r="Q163" s="31"/>
      <c r="R163" s="31"/>
      <c r="S163" s="93"/>
      <c r="T163" s="57"/>
      <c r="U163" s="57"/>
      <c r="V163" s="31"/>
    </row>
    <row r="164" spans="1:22" x14ac:dyDescent="0.2">
      <c r="A164" s="108"/>
      <c r="B164" s="33"/>
      <c r="C164" s="22"/>
      <c r="D164" s="1"/>
      <c r="E164" s="1"/>
      <c r="F164" s="1"/>
      <c r="G164" s="31"/>
      <c r="H164" s="31"/>
      <c r="I164" s="57"/>
      <c r="J164" s="31"/>
      <c r="K164" s="31"/>
      <c r="L164" s="31"/>
      <c r="M164" s="31"/>
      <c r="N164" s="31"/>
      <c r="O164" s="31"/>
      <c r="P164" s="31"/>
      <c r="Q164" s="31"/>
      <c r="R164" s="31"/>
      <c r="S164" s="93"/>
      <c r="T164" s="57"/>
      <c r="U164" s="57"/>
      <c r="V164" s="31"/>
    </row>
    <row r="165" spans="1:22" x14ac:dyDescent="0.2">
      <c r="A165" s="108"/>
      <c r="B165" s="33"/>
      <c r="C165" s="22"/>
      <c r="D165" s="1"/>
      <c r="E165" s="1"/>
      <c r="F165" s="1"/>
      <c r="G165" s="31"/>
      <c r="H165" s="31"/>
      <c r="I165" s="57"/>
      <c r="J165" s="31"/>
      <c r="K165" s="31"/>
      <c r="L165" s="31"/>
      <c r="M165" s="31"/>
      <c r="N165" s="31"/>
      <c r="O165" s="31"/>
      <c r="P165" s="31"/>
      <c r="Q165" s="31"/>
      <c r="R165" s="31"/>
      <c r="S165" s="93"/>
      <c r="T165" s="57"/>
      <c r="U165" s="57"/>
      <c r="V165" s="31"/>
    </row>
    <row r="166" spans="1:22" x14ac:dyDescent="0.2">
      <c r="A166" s="108"/>
      <c r="B166" s="33"/>
      <c r="C166" s="22"/>
      <c r="D166" s="1"/>
      <c r="E166" s="1"/>
      <c r="F166" s="1"/>
      <c r="G166" s="31"/>
      <c r="H166" s="31"/>
      <c r="I166" s="57"/>
      <c r="J166" s="31"/>
      <c r="K166" s="31"/>
      <c r="L166" s="31"/>
      <c r="M166" s="31"/>
      <c r="N166" s="31"/>
      <c r="O166" s="31"/>
      <c r="P166" s="31"/>
      <c r="Q166" s="31"/>
      <c r="R166" s="31"/>
      <c r="S166" s="93"/>
      <c r="T166" s="57"/>
      <c r="U166" s="57"/>
      <c r="V166" s="31"/>
    </row>
    <row r="167" spans="1:22" x14ac:dyDescent="0.2">
      <c r="A167" s="108"/>
      <c r="B167" s="33"/>
      <c r="C167" s="22"/>
      <c r="D167" s="1"/>
      <c r="E167" s="1"/>
      <c r="F167" s="1"/>
      <c r="G167" s="31"/>
      <c r="H167" s="31"/>
      <c r="I167" s="57"/>
      <c r="J167" s="31"/>
      <c r="K167" s="31"/>
      <c r="L167" s="31"/>
      <c r="M167" s="31"/>
      <c r="N167" s="31"/>
      <c r="O167" s="31"/>
      <c r="P167" s="31"/>
      <c r="Q167" s="31"/>
      <c r="R167" s="31"/>
      <c r="S167" s="93"/>
      <c r="T167" s="57"/>
      <c r="U167" s="57"/>
      <c r="V167" s="31"/>
    </row>
    <row r="168" spans="1:22" x14ac:dyDescent="0.2">
      <c r="A168" s="108"/>
      <c r="B168" s="33"/>
      <c r="C168" s="22"/>
      <c r="D168" s="1"/>
      <c r="E168" s="1"/>
      <c r="F168" s="1"/>
      <c r="G168" s="31"/>
      <c r="H168" s="31"/>
      <c r="I168" s="57"/>
      <c r="J168" s="31"/>
      <c r="K168" s="31"/>
      <c r="L168" s="31"/>
      <c r="M168" s="31"/>
      <c r="N168" s="31"/>
      <c r="O168" s="31"/>
      <c r="P168" s="31"/>
      <c r="Q168" s="31"/>
      <c r="R168" s="31"/>
      <c r="S168" s="93"/>
      <c r="T168" s="57"/>
      <c r="U168" s="57"/>
      <c r="V168" s="31"/>
    </row>
    <row r="169" spans="1:22" x14ac:dyDescent="0.2">
      <c r="A169" s="108"/>
      <c r="B169" s="33"/>
      <c r="C169" s="22"/>
      <c r="D169" s="1"/>
      <c r="E169" s="1"/>
      <c r="F169" s="1"/>
      <c r="G169" s="31"/>
      <c r="H169" s="31"/>
      <c r="I169" s="57"/>
      <c r="J169" s="31"/>
      <c r="K169" s="31"/>
      <c r="L169" s="31"/>
      <c r="M169" s="31"/>
      <c r="N169" s="31"/>
      <c r="O169" s="31"/>
      <c r="P169" s="31"/>
      <c r="Q169" s="31"/>
      <c r="R169" s="31"/>
      <c r="S169" s="93"/>
      <c r="T169" s="57"/>
      <c r="U169" s="57"/>
      <c r="V169" s="31"/>
    </row>
    <row r="170" spans="1:22" x14ac:dyDescent="0.2">
      <c r="A170" s="108"/>
      <c r="B170" s="33"/>
      <c r="C170" s="22"/>
      <c r="D170" s="1"/>
      <c r="E170" s="1"/>
      <c r="F170" s="1"/>
      <c r="G170" s="31"/>
      <c r="H170" s="31"/>
      <c r="I170" s="57"/>
      <c r="J170" s="31"/>
      <c r="K170" s="31"/>
      <c r="L170" s="31"/>
      <c r="M170" s="31"/>
      <c r="N170" s="31"/>
      <c r="O170" s="31"/>
      <c r="P170" s="31"/>
      <c r="Q170" s="31"/>
      <c r="R170" s="31"/>
      <c r="S170" s="93"/>
      <c r="T170" s="57"/>
      <c r="U170" s="57"/>
      <c r="V170" s="31"/>
    </row>
    <row r="171" spans="1:22" x14ac:dyDescent="0.2">
      <c r="A171" s="108"/>
      <c r="B171" s="33"/>
      <c r="C171" s="22"/>
      <c r="D171" s="1"/>
      <c r="E171" s="1"/>
      <c r="F171" s="1"/>
      <c r="G171" s="31"/>
      <c r="H171" s="31"/>
      <c r="I171" s="57"/>
      <c r="J171" s="31"/>
      <c r="K171" s="31"/>
      <c r="L171" s="31"/>
      <c r="M171" s="31"/>
      <c r="N171" s="31"/>
      <c r="O171" s="31"/>
      <c r="P171" s="31"/>
      <c r="Q171" s="31"/>
      <c r="R171" s="31"/>
      <c r="S171" s="93"/>
      <c r="T171" s="57"/>
      <c r="U171" s="57"/>
      <c r="V171" s="31"/>
    </row>
    <row r="172" spans="1:22" x14ac:dyDescent="0.2">
      <c r="A172" s="108"/>
      <c r="B172" s="33"/>
      <c r="C172" s="22"/>
      <c r="D172" s="1"/>
      <c r="E172" s="1"/>
      <c r="F172" s="1"/>
      <c r="G172" s="31"/>
      <c r="H172" s="31"/>
      <c r="I172" s="57"/>
      <c r="J172" s="31"/>
      <c r="K172" s="31"/>
      <c r="L172" s="31"/>
      <c r="M172" s="31"/>
      <c r="N172" s="31"/>
      <c r="O172" s="31"/>
      <c r="P172" s="31"/>
      <c r="Q172" s="31"/>
      <c r="R172" s="31"/>
      <c r="S172" s="93"/>
      <c r="T172" s="57"/>
      <c r="U172" s="57"/>
      <c r="V172" s="31"/>
    </row>
    <row r="173" spans="1:22" x14ac:dyDescent="0.2">
      <c r="A173" s="108"/>
      <c r="B173" s="33"/>
      <c r="C173" s="22"/>
      <c r="D173" s="1"/>
      <c r="E173" s="1"/>
      <c r="F173" s="1"/>
      <c r="G173" s="31"/>
      <c r="H173" s="31"/>
      <c r="I173" s="57"/>
      <c r="J173" s="31"/>
      <c r="K173" s="31"/>
      <c r="L173" s="31"/>
      <c r="M173" s="31"/>
      <c r="N173" s="31"/>
      <c r="O173" s="31"/>
      <c r="P173" s="31"/>
      <c r="Q173" s="31"/>
      <c r="R173" s="31"/>
      <c r="S173" s="93"/>
      <c r="T173" s="57"/>
      <c r="U173" s="57"/>
      <c r="V173" s="31"/>
    </row>
    <row r="174" spans="1:22" x14ac:dyDescent="0.2">
      <c r="A174" s="108"/>
      <c r="B174" s="33"/>
      <c r="C174" s="22"/>
      <c r="D174" s="1"/>
      <c r="E174" s="1"/>
      <c r="F174" s="1"/>
      <c r="G174" s="31"/>
      <c r="H174" s="31"/>
      <c r="I174" s="57"/>
      <c r="J174" s="31"/>
      <c r="K174" s="31"/>
      <c r="L174" s="31"/>
      <c r="M174" s="31"/>
      <c r="N174" s="31"/>
      <c r="O174" s="31"/>
      <c r="P174" s="31"/>
      <c r="Q174" s="31"/>
      <c r="R174" s="31"/>
      <c r="S174" s="93"/>
      <c r="T174" s="57"/>
      <c r="U174" s="57"/>
      <c r="V174" s="31"/>
    </row>
    <row r="175" spans="1:22" x14ac:dyDescent="0.2">
      <c r="A175" s="108"/>
      <c r="B175" s="33"/>
      <c r="C175" s="22"/>
      <c r="D175" s="1"/>
      <c r="E175" s="1"/>
      <c r="F175" s="1"/>
      <c r="G175" s="31"/>
      <c r="H175" s="31"/>
      <c r="I175" s="57"/>
      <c r="J175" s="31"/>
      <c r="K175" s="31"/>
      <c r="L175" s="31"/>
      <c r="M175" s="31"/>
      <c r="N175" s="31"/>
      <c r="O175" s="31"/>
      <c r="P175" s="31"/>
      <c r="Q175" s="31"/>
      <c r="R175" s="31"/>
      <c r="S175" s="93"/>
      <c r="T175" s="57"/>
      <c r="U175" s="57"/>
      <c r="V175" s="31"/>
    </row>
    <row r="176" spans="1:22" x14ac:dyDescent="0.2">
      <c r="A176" s="108"/>
      <c r="B176" s="33"/>
      <c r="C176" s="22"/>
      <c r="D176" s="1"/>
      <c r="E176" s="1"/>
      <c r="F176" s="1"/>
      <c r="G176" s="31"/>
      <c r="H176" s="31"/>
      <c r="I176" s="57"/>
      <c r="J176" s="31"/>
      <c r="K176" s="31"/>
      <c r="L176" s="31"/>
      <c r="M176" s="31"/>
      <c r="N176" s="31"/>
      <c r="O176" s="31"/>
      <c r="P176" s="31"/>
      <c r="Q176" s="31"/>
      <c r="R176" s="31"/>
      <c r="S176" s="93"/>
      <c r="T176" s="57"/>
      <c r="U176" s="57"/>
      <c r="V176" s="31"/>
    </row>
    <row r="177" spans="1:22" x14ac:dyDescent="0.2">
      <c r="A177" s="108"/>
      <c r="B177" s="33"/>
      <c r="C177" s="22"/>
      <c r="D177" s="1"/>
      <c r="E177" s="1"/>
      <c r="F177" s="1"/>
      <c r="G177" s="31"/>
      <c r="H177" s="31"/>
      <c r="I177" s="57"/>
      <c r="J177" s="31"/>
      <c r="K177" s="31"/>
      <c r="L177" s="31"/>
      <c r="M177" s="31"/>
      <c r="N177" s="31"/>
      <c r="O177" s="31"/>
      <c r="P177" s="31"/>
      <c r="Q177" s="31"/>
      <c r="R177" s="31"/>
      <c r="S177" s="93"/>
      <c r="T177" s="57"/>
      <c r="U177" s="57"/>
      <c r="V177" s="31"/>
    </row>
    <row r="178" spans="1:22" x14ac:dyDescent="0.2">
      <c r="A178" s="108"/>
      <c r="B178" s="33"/>
      <c r="C178" s="22"/>
      <c r="D178" s="1"/>
      <c r="E178" s="1"/>
      <c r="F178" s="1"/>
      <c r="G178" s="31"/>
      <c r="H178" s="31"/>
      <c r="I178" s="57"/>
      <c r="J178" s="31"/>
      <c r="K178" s="31"/>
      <c r="L178" s="31"/>
      <c r="M178" s="31"/>
      <c r="N178" s="31"/>
      <c r="O178" s="31"/>
      <c r="P178" s="31"/>
      <c r="Q178" s="31"/>
      <c r="R178" s="31"/>
      <c r="S178" s="93"/>
      <c r="T178" s="57"/>
      <c r="U178" s="57"/>
      <c r="V178" s="31"/>
    </row>
    <row r="179" spans="1:22" x14ac:dyDescent="0.2">
      <c r="A179" s="108"/>
      <c r="B179" s="33"/>
      <c r="C179" s="22"/>
      <c r="D179" s="1"/>
      <c r="E179" s="1"/>
      <c r="F179" s="1"/>
      <c r="G179" s="31"/>
      <c r="H179" s="31"/>
      <c r="I179" s="57"/>
      <c r="J179" s="31"/>
      <c r="K179" s="31"/>
      <c r="L179" s="31"/>
      <c r="M179" s="31"/>
      <c r="N179" s="31"/>
      <c r="O179" s="31"/>
      <c r="P179" s="31"/>
      <c r="Q179" s="31"/>
      <c r="R179" s="31"/>
      <c r="S179" s="93"/>
      <c r="T179" s="57"/>
      <c r="U179" s="57"/>
      <c r="V179" s="31"/>
    </row>
    <row r="180" spans="1:22" x14ac:dyDescent="0.2">
      <c r="A180" s="108"/>
      <c r="B180" s="33"/>
      <c r="C180" s="22"/>
      <c r="D180" s="1"/>
      <c r="E180" s="1"/>
      <c r="F180" s="1"/>
      <c r="G180" s="31"/>
      <c r="H180" s="31"/>
      <c r="I180" s="57"/>
      <c r="J180" s="31"/>
      <c r="K180" s="31"/>
      <c r="L180" s="31"/>
      <c r="M180" s="31"/>
      <c r="N180" s="31"/>
      <c r="O180" s="31"/>
      <c r="P180" s="31"/>
      <c r="Q180" s="31"/>
      <c r="R180" s="31"/>
      <c r="S180" s="93"/>
      <c r="T180" s="57"/>
      <c r="U180" s="57"/>
      <c r="V180" s="31"/>
    </row>
    <row r="181" spans="1:22" x14ac:dyDescent="0.2">
      <c r="A181" s="108"/>
      <c r="B181" s="33"/>
      <c r="C181" s="22"/>
      <c r="D181" s="1"/>
      <c r="E181" s="1"/>
      <c r="F181" s="1"/>
      <c r="G181" s="31"/>
      <c r="H181" s="31"/>
      <c r="I181" s="57"/>
      <c r="J181" s="31"/>
      <c r="K181" s="31"/>
      <c r="L181" s="31"/>
      <c r="M181" s="31"/>
      <c r="N181" s="31"/>
      <c r="O181" s="31"/>
      <c r="P181" s="31"/>
      <c r="Q181" s="31"/>
      <c r="R181" s="31"/>
      <c r="S181" s="93"/>
      <c r="T181" s="57"/>
      <c r="U181" s="57"/>
      <c r="V181" s="31"/>
    </row>
    <row r="182" spans="1:22" x14ac:dyDescent="0.2">
      <c r="A182" s="108"/>
      <c r="B182" s="33"/>
      <c r="C182" s="22"/>
      <c r="D182" s="1"/>
      <c r="E182" s="1"/>
      <c r="F182" s="1"/>
      <c r="G182" s="31"/>
      <c r="H182" s="31"/>
      <c r="I182" s="57"/>
      <c r="J182" s="31"/>
      <c r="K182" s="31"/>
      <c r="L182" s="31"/>
      <c r="M182" s="31"/>
      <c r="N182" s="31"/>
      <c r="O182" s="31"/>
      <c r="P182" s="31"/>
      <c r="Q182" s="31"/>
      <c r="R182" s="31"/>
      <c r="S182" s="93"/>
      <c r="T182" s="57"/>
      <c r="U182" s="57"/>
      <c r="V182" s="31"/>
    </row>
    <row r="183" spans="1:22" x14ac:dyDescent="0.2">
      <c r="A183" s="108"/>
      <c r="B183" s="33"/>
      <c r="C183" s="22"/>
      <c r="D183" s="1"/>
      <c r="E183" s="1"/>
      <c r="F183" s="1"/>
      <c r="G183" s="31"/>
      <c r="H183" s="31"/>
      <c r="I183" s="57"/>
      <c r="J183" s="31"/>
      <c r="K183" s="31"/>
      <c r="L183" s="31"/>
      <c r="M183" s="31"/>
      <c r="N183" s="31"/>
      <c r="O183" s="31"/>
      <c r="P183" s="31"/>
      <c r="Q183" s="31"/>
      <c r="R183" s="31"/>
      <c r="S183" s="93"/>
      <c r="T183" s="57"/>
      <c r="U183" s="57"/>
      <c r="V183" s="31"/>
    </row>
    <row r="184" spans="1:22" x14ac:dyDescent="0.2">
      <c r="A184" s="108"/>
      <c r="B184" s="33"/>
      <c r="C184" s="22"/>
      <c r="D184" s="1"/>
      <c r="E184" s="1"/>
      <c r="F184" s="1"/>
      <c r="G184" s="31"/>
      <c r="H184" s="31"/>
      <c r="I184" s="57"/>
      <c r="J184" s="31"/>
      <c r="K184" s="31"/>
      <c r="L184" s="31"/>
      <c r="M184" s="31"/>
      <c r="N184" s="31"/>
      <c r="O184" s="31"/>
      <c r="P184" s="31"/>
      <c r="Q184" s="31"/>
      <c r="R184" s="31"/>
      <c r="S184" s="93"/>
      <c r="T184" s="57"/>
      <c r="U184" s="57"/>
      <c r="V184" s="31"/>
    </row>
    <row r="185" spans="1:22" x14ac:dyDescent="0.2">
      <c r="A185" s="108"/>
      <c r="B185" s="33"/>
      <c r="C185" s="22"/>
      <c r="D185" s="1"/>
      <c r="E185" s="1"/>
      <c r="F185" s="1"/>
      <c r="G185" s="31"/>
      <c r="H185" s="31"/>
      <c r="I185" s="57"/>
      <c r="J185" s="31"/>
      <c r="K185" s="31"/>
      <c r="L185" s="31"/>
      <c r="M185" s="31"/>
      <c r="N185" s="31"/>
      <c r="O185" s="31"/>
      <c r="P185" s="31"/>
      <c r="Q185" s="31"/>
      <c r="R185" s="31"/>
      <c r="S185" s="93"/>
      <c r="T185" s="57"/>
      <c r="U185" s="57"/>
      <c r="V185" s="31"/>
    </row>
    <row r="186" spans="1:22" x14ac:dyDescent="0.2">
      <c r="A186" s="108"/>
      <c r="B186" s="33"/>
      <c r="C186" s="22"/>
      <c r="D186" s="1"/>
      <c r="E186" s="1"/>
      <c r="F186" s="1"/>
      <c r="G186" s="31"/>
      <c r="H186" s="31"/>
      <c r="I186" s="57"/>
      <c r="J186" s="31"/>
      <c r="K186" s="31"/>
      <c r="L186" s="31"/>
      <c r="M186" s="31"/>
      <c r="N186" s="31"/>
      <c r="O186" s="31"/>
      <c r="P186" s="31"/>
      <c r="Q186" s="31"/>
      <c r="R186" s="31"/>
      <c r="S186" s="93"/>
      <c r="T186" s="57"/>
      <c r="U186" s="57"/>
      <c r="V186" s="31"/>
    </row>
    <row r="187" spans="1:22" x14ac:dyDescent="0.2">
      <c r="A187" s="108"/>
      <c r="B187" s="33"/>
      <c r="C187" s="22"/>
      <c r="D187" s="1"/>
      <c r="E187" s="1"/>
      <c r="F187" s="1"/>
      <c r="G187" s="31"/>
      <c r="H187" s="31"/>
      <c r="I187" s="57"/>
      <c r="J187" s="31"/>
      <c r="K187" s="31"/>
      <c r="L187" s="31"/>
      <c r="M187" s="31"/>
      <c r="N187" s="31"/>
      <c r="O187" s="31"/>
      <c r="P187" s="31"/>
      <c r="Q187" s="31"/>
      <c r="R187" s="31"/>
      <c r="S187" s="93"/>
      <c r="T187" s="57"/>
      <c r="U187" s="57"/>
      <c r="V187" s="31"/>
    </row>
    <row r="188" spans="1:22" x14ac:dyDescent="0.2">
      <c r="A188" s="108"/>
      <c r="B188" s="33"/>
      <c r="C188" s="22"/>
      <c r="D188" s="1"/>
      <c r="E188" s="1"/>
      <c r="F188" s="1"/>
      <c r="G188" s="31"/>
      <c r="H188" s="31"/>
      <c r="I188" s="57"/>
      <c r="J188" s="31"/>
      <c r="K188" s="31"/>
      <c r="L188" s="31"/>
      <c r="M188" s="31"/>
      <c r="N188" s="31"/>
      <c r="O188" s="31"/>
      <c r="P188" s="31"/>
      <c r="Q188" s="31"/>
      <c r="R188" s="31"/>
      <c r="S188" s="93"/>
      <c r="T188" s="57"/>
      <c r="U188" s="57"/>
      <c r="V188" s="31"/>
    </row>
    <row r="189" spans="1:22" x14ac:dyDescent="0.2">
      <c r="A189" s="108"/>
      <c r="B189" s="33"/>
      <c r="C189" s="22"/>
      <c r="D189" s="1"/>
      <c r="E189" s="1"/>
      <c r="F189" s="1"/>
      <c r="G189" s="31"/>
      <c r="H189" s="31"/>
      <c r="I189" s="57"/>
      <c r="J189" s="31"/>
      <c r="K189" s="31"/>
      <c r="L189" s="31"/>
      <c r="M189" s="31"/>
      <c r="N189" s="31"/>
      <c r="O189" s="31"/>
      <c r="P189" s="31"/>
      <c r="Q189" s="31"/>
      <c r="R189" s="31"/>
      <c r="S189" s="93"/>
      <c r="T189" s="57"/>
      <c r="U189" s="57"/>
      <c r="V189" s="31"/>
    </row>
    <row r="190" spans="1:22" x14ac:dyDescent="0.2">
      <c r="A190" s="108"/>
      <c r="B190" s="33"/>
      <c r="C190" s="22"/>
      <c r="D190" s="1"/>
      <c r="E190" s="1"/>
      <c r="F190" s="1"/>
      <c r="G190" s="31"/>
      <c r="H190" s="31"/>
      <c r="I190" s="57"/>
      <c r="J190" s="31"/>
      <c r="K190" s="31"/>
      <c r="L190" s="31"/>
      <c r="M190" s="31"/>
      <c r="N190" s="31"/>
      <c r="O190" s="31"/>
      <c r="P190" s="31"/>
      <c r="Q190" s="31"/>
      <c r="R190" s="31"/>
      <c r="S190" s="93"/>
      <c r="T190" s="57"/>
      <c r="U190" s="57"/>
      <c r="V190" s="31"/>
    </row>
    <row r="191" spans="1:22" x14ac:dyDescent="0.2">
      <c r="A191" s="108"/>
      <c r="B191" s="33"/>
      <c r="C191" s="22"/>
      <c r="D191" s="1"/>
      <c r="E191" s="1"/>
      <c r="F191" s="1"/>
      <c r="G191" s="31"/>
      <c r="H191" s="31"/>
      <c r="I191" s="57"/>
      <c r="J191" s="31"/>
      <c r="K191" s="31"/>
      <c r="L191" s="31"/>
      <c r="M191" s="31"/>
      <c r="N191" s="31"/>
      <c r="O191" s="31"/>
      <c r="P191" s="31"/>
      <c r="Q191" s="31"/>
      <c r="R191" s="31"/>
      <c r="S191" s="93"/>
      <c r="T191" s="57"/>
      <c r="U191" s="57"/>
      <c r="V191" s="31"/>
    </row>
    <row r="192" spans="1:22" x14ac:dyDescent="0.2">
      <c r="A192" s="108"/>
      <c r="B192" s="33"/>
      <c r="C192" s="22"/>
      <c r="D192" s="1"/>
      <c r="E192" s="1"/>
      <c r="F192" s="1"/>
      <c r="G192" s="31"/>
      <c r="H192" s="31"/>
      <c r="I192" s="57"/>
      <c r="J192" s="31"/>
      <c r="K192" s="31"/>
      <c r="L192" s="31"/>
      <c r="M192" s="31"/>
      <c r="N192" s="31"/>
      <c r="O192" s="31"/>
      <c r="P192" s="31"/>
      <c r="Q192" s="31"/>
      <c r="R192" s="31"/>
      <c r="S192" s="93"/>
      <c r="T192" s="57"/>
      <c r="U192" s="57"/>
      <c r="V192" s="31"/>
    </row>
    <row r="193" spans="1:22" x14ac:dyDescent="0.2">
      <c r="A193" s="108"/>
      <c r="B193" s="33"/>
      <c r="C193" s="22"/>
      <c r="D193" s="1"/>
      <c r="E193" s="1"/>
      <c r="F193" s="1"/>
      <c r="G193" s="31"/>
      <c r="H193" s="31"/>
      <c r="I193" s="57"/>
      <c r="J193" s="31"/>
      <c r="K193" s="31"/>
      <c r="L193" s="31"/>
      <c r="M193" s="31"/>
      <c r="N193" s="31"/>
      <c r="O193" s="31"/>
      <c r="P193" s="31"/>
      <c r="Q193" s="31"/>
      <c r="R193" s="31"/>
      <c r="S193" s="93"/>
      <c r="T193" s="57"/>
      <c r="U193" s="57"/>
      <c r="V193" s="31"/>
    </row>
    <row r="194" spans="1:22" x14ac:dyDescent="0.2">
      <c r="A194" s="108"/>
      <c r="B194" s="33"/>
      <c r="C194" s="22"/>
      <c r="D194" s="1"/>
      <c r="E194" s="1"/>
      <c r="F194" s="1"/>
      <c r="G194" s="31"/>
      <c r="H194" s="31"/>
      <c r="I194" s="57"/>
      <c r="J194" s="31"/>
      <c r="K194" s="31"/>
      <c r="L194" s="31"/>
      <c r="M194" s="31"/>
      <c r="N194" s="31"/>
      <c r="O194" s="31"/>
      <c r="P194" s="31"/>
      <c r="Q194" s="31"/>
      <c r="R194" s="31"/>
      <c r="S194" s="93"/>
      <c r="T194" s="57"/>
      <c r="U194" s="57"/>
      <c r="V194" s="31"/>
    </row>
    <row r="195" spans="1:22" x14ac:dyDescent="0.2">
      <c r="A195" s="108"/>
      <c r="B195" s="33"/>
      <c r="C195" s="22"/>
      <c r="D195" s="1"/>
      <c r="E195" s="1"/>
      <c r="F195" s="1"/>
      <c r="G195" s="31"/>
      <c r="H195" s="31"/>
      <c r="I195" s="57"/>
      <c r="J195" s="31"/>
      <c r="K195" s="31"/>
      <c r="L195" s="31"/>
      <c r="M195" s="31"/>
      <c r="N195" s="31"/>
      <c r="O195" s="31"/>
      <c r="P195" s="31"/>
      <c r="Q195" s="31"/>
      <c r="R195" s="31"/>
      <c r="S195" s="93"/>
      <c r="T195" s="57"/>
      <c r="U195" s="57"/>
      <c r="V195" s="31"/>
    </row>
    <row r="196" spans="1:22" x14ac:dyDescent="0.2">
      <c r="A196" s="108"/>
      <c r="B196" s="33"/>
      <c r="C196" s="22"/>
      <c r="D196" s="1"/>
      <c r="E196" s="1"/>
      <c r="F196" s="1"/>
      <c r="G196" s="31"/>
      <c r="H196" s="31"/>
      <c r="I196" s="57"/>
      <c r="J196" s="31"/>
      <c r="K196" s="31"/>
      <c r="L196" s="31"/>
      <c r="M196" s="31"/>
      <c r="N196" s="31"/>
      <c r="O196" s="31"/>
      <c r="P196" s="31"/>
      <c r="Q196" s="31"/>
      <c r="R196" s="31"/>
      <c r="S196" s="93"/>
      <c r="T196" s="57"/>
      <c r="U196" s="57"/>
      <c r="V196" s="31"/>
    </row>
    <row r="197" spans="1:22" x14ac:dyDescent="0.2">
      <c r="A197" s="108"/>
      <c r="B197" s="33"/>
      <c r="C197" s="22"/>
      <c r="D197" s="1"/>
      <c r="E197" s="1"/>
      <c r="F197" s="1"/>
      <c r="G197" s="31"/>
      <c r="H197" s="31"/>
      <c r="I197" s="57"/>
      <c r="J197" s="31"/>
      <c r="K197" s="31"/>
      <c r="L197" s="31"/>
      <c r="M197" s="31"/>
      <c r="N197" s="31"/>
      <c r="O197" s="31"/>
      <c r="P197" s="31"/>
      <c r="Q197" s="31"/>
      <c r="R197" s="31"/>
      <c r="S197" s="93"/>
      <c r="T197" s="57"/>
      <c r="U197" s="57"/>
      <c r="V197" s="31"/>
    </row>
    <row r="198" spans="1:22" x14ac:dyDescent="0.2">
      <c r="A198" s="108"/>
      <c r="B198" s="33"/>
      <c r="C198" s="22"/>
      <c r="D198" s="1"/>
      <c r="E198" s="1"/>
      <c r="F198" s="1"/>
      <c r="G198" s="31"/>
      <c r="H198" s="31"/>
      <c r="I198" s="57"/>
      <c r="J198" s="31"/>
      <c r="K198" s="31"/>
      <c r="L198" s="31"/>
      <c r="M198" s="31"/>
      <c r="N198" s="31"/>
      <c r="O198" s="31"/>
      <c r="P198" s="31"/>
      <c r="Q198" s="31"/>
      <c r="R198" s="31"/>
      <c r="S198" s="93"/>
      <c r="T198" s="57"/>
      <c r="U198" s="57"/>
      <c r="V198" s="31"/>
    </row>
    <row r="199" spans="1:22" x14ac:dyDescent="0.2">
      <c r="A199" s="108"/>
      <c r="B199" s="33"/>
      <c r="C199" s="22"/>
      <c r="D199" s="1"/>
      <c r="E199" s="1"/>
      <c r="F199" s="1"/>
      <c r="G199" s="31"/>
      <c r="H199" s="31"/>
      <c r="I199" s="57"/>
      <c r="J199" s="31"/>
      <c r="K199" s="31"/>
      <c r="L199" s="31"/>
      <c r="M199" s="31"/>
      <c r="N199" s="31"/>
      <c r="O199" s="31"/>
      <c r="P199" s="31"/>
      <c r="Q199" s="31"/>
      <c r="R199" s="31"/>
      <c r="S199" s="93"/>
      <c r="T199" s="57"/>
      <c r="U199" s="57"/>
      <c r="V199" s="31"/>
    </row>
    <row r="200" spans="1:22" x14ac:dyDescent="0.2">
      <c r="A200" s="108"/>
      <c r="B200" s="33"/>
      <c r="C200" s="22"/>
      <c r="D200" s="1"/>
      <c r="E200" s="1"/>
      <c r="F200" s="1"/>
      <c r="G200" s="31"/>
      <c r="H200" s="31"/>
      <c r="I200" s="57"/>
      <c r="J200" s="31"/>
      <c r="K200" s="31"/>
      <c r="L200" s="31"/>
      <c r="M200" s="31"/>
      <c r="N200" s="31"/>
      <c r="O200" s="31"/>
      <c r="P200" s="31"/>
      <c r="Q200" s="31"/>
      <c r="R200" s="31"/>
      <c r="S200" s="93"/>
      <c r="T200" s="57"/>
      <c r="U200" s="57"/>
      <c r="V200" s="31"/>
    </row>
    <row r="201" spans="1:22" x14ac:dyDescent="0.2">
      <c r="A201" s="108"/>
      <c r="B201" s="33"/>
      <c r="C201" s="22"/>
      <c r="D201" s="1"/>
      <c r="E201" s="1"/>
      <c r="F201" s="1"/>
      <c r="G201" s="31"/>
      <c r="H201" s="31"/>
      <c r="I201" s="57"/>
      <c r="J201" s="31"/>
      <c r="K201" s="31"/>
      <c r="L201" s="31"/>
      <c r="M201" s="31"/>
      <c r="N201" s="31"/>
      <c r="O201" s="31"/>
      <c r="P201" s="31"/>
      <c r="Q201" s="31"/>
      <c r="R201" s="31"/>
      <c r="S201" s="93"/>
      <c r="T201" s="57"/>
      <c r="U201" s="57"/>
      <c r="V201" s="31"/>
    </row>
    <row r="202" spans="1:22" x14ac:dyDescent="0.2">
      <c r="A202" s="108"/>
      <c r="B202" s="33"/>
      <c r="C202" s="22"/>
      <c r="D202" s="1"/>
      <c r="E202" s="1"/>
      <c r="F202" s="1"/>
      <c r="G202" s="31"/>
      <c r="H202" s="31"/>
      <c r="I202" s="57"/>
      <c r="J202" s="31"/>
      <c r="K202" s="31"/>
      <c r="L202" s="31"/>
      <c r="M202" s="31"/>
      <c r="N202" s="31"/>
      <c r="O202" s="31"/>
      <c r="P202" s="31"/>
      <c r="Q202" s="31"/>
      <c r="R202" s="31"/>
      <c r="S202" s="93"/>
      <c r="T202" s="57"/>
      <c r="U202" s="57"/>
      <c r="V202" s="31"/>
    </row>
    <row r="203" spans="1:22" x14ac:dyDescent="0.2">
      <c r="A203" s="108"/>
      <c r="B203" s="33"/>
      <c r="C203" s="22"/>
      <c r="D203" s="1"/>
      <c r="E203" s="1"/>
      <c r="F203" s="1"/>
      <c r="G203" s="31"/>
      <c r="H203" s="31"/>
      <c r="I203" s="57"/>
      <c r="J203" s="31"/>
      <c r="K203" s="31"/>
      <c r="L203" s="31"/>
      <c r="M203" s="31"/>
      <c r="N203" s="31"/>
      <c r="O203" s="31"/>
      <c r="P203" s="31"/>
      <c r="Q203" s="31"/>
      <c r="R203" s="31"/>
      <c r="S203" s="93"/>
      <c r="T203" s="57"/>
      <c r="U203" s="57"/>
      <c r="V203" s="31"/>
    </row>
    <row r="204" spans="1:22" x14ac:dyDescent="0.2">
      <c r="A204" s="108"/>
      <c r="B204" s="33"/>
      <c r="C204" s="22"/>
      <c r="D204" s="1"/>
      <c r="E204" s="1"/>
      <c r="F204" s="1"/>
      <c r="G204" s="31"/>
      <c r="H204" s="31"/>
      <c r="I204" s="57"/>
      <c r="J204" s="31"/>
      <c r="K204" s="31"/>
      <c r="L204" s="31"/>
      <c r="M204" s="31"/>
      <c r="N204" s="31"/>
      <c r="O204" s="31"/>
      <c r="P204" s="31"/>
      <c r="Q204" s="31"/>
      <c r="R204" s="31"/>
      <c r="S204" s="93"/>
      <c r="T204" s="57"/>
      <c r="U204" s="57"/>
      <c r="V204" s="31"/>
    </row>
    <row r="205" spans="1:22" x14ac:dyDescent="0.2">
      <c r="A205" s="108"/>
      <c r="B205" s="33"/>
      <c r="C205" s="22"/>
      <c r="D205" s="1"/>
      <c r="E205" s="1"/>
      <c r="F205" s="1"/>
      <c r="G205" s="31"/>
      <c r="H205" s="31"/>
      <c r="I205" s="57"/>
      <c r="J205" s="31"/>
      <c r="K205" s="31"/>
      <c r="L205" s="31"/>
      <c r="M205" s="31"/>
      <c r="N205" s="31"/>
      <c r="O205" s="31"/>
      <c r="P205" s="31"/>
      <c r="Q205" s="31"/>
      <c r="R205" s="31"/>
      <c r="S205" s="93"/>
      <c r="T205" s="57"/>
      <c r="U205" s="57"/>
      <c r="V205" s="31"/>
    </row>
    <row r="206" spans="1:22" x14ac:dyDescent="0.2">
      <c r="A206" s="108"/>
      <c r="B206" s="33"/>
      <c r="C206" s="22"/>
      <c r="D206" s="1"/>
      <c r="E206" s="1"/>
      <c r="F206" s="1"/>
      <c r="G206" s="31"/>
      <c r="H206" s="31"/>
      <c r="I206" s="57"/>
      <c r="J206" s="31"/>
      <c r="K206" s="31"/>
      <c r="L206" s="31"/>
      <c r="M206" s="31"/>
      <c r="N206" s="31"/>
      <c r="O206" s="31"/>
      <c r="P206" s="31"/>
      <c r="Q206" s="31"/>
      <c r="R206" s="31"/>
      <c r="S206" s="93"/>
      <c r="T206" s="57"/>
      <c r="U206" s="57"/>
      <c r="V206" s="31"/>
    </row>
  </sheetData>
  <printOptions heading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499984740745262"/>
  </sheetPr>
  <dimension ref="A2:R22"/>
  <sheetViews>
    <sheetView workbookViewId="0">
      <selection activeCell="D11" sqref="D11"/>
    </sheetView>
  </sheetViews>
  <sheetFormatPr defaultRowHeight="12.75" x14ac:dyDescent="0.2"/>
  <cols>
    <col min="1" max="1" width="12.28515625" bestFit="1" customWidth="1"/>
    <col min="4" max="4" width="12.42578125" bestFit="1" customWidth="1"/>
    <col min="5" max="5" width="9.85546875" customWidth="1"/>
    <col min="14" max="14" width="12" bestFit="1" customWidth="1"/>
    <col min="15" max="15" width="10" bestFit="1" customWidth="1"/>
    <col min="16" max="16" width="8.140625" style="110" customWidth="1"/>
    <col min="17" max="17" width="9.42578125" style="110" bestFit="1" customWidth="1"/>
    <col min="18" max="18" width="10.7109375" bestFit="1" customWidth="1"/>
  </cols>
  <sheetData>
    <row r="2" spans="1:18" ht="15" x14ac:dyDescent="0.2">
      <c r="A2" s="15" t="s">
        <v>315</v>
      </c>
      <c r="B2" s="15" t="s">
        <v>127</v>
      </c>
      <c r="C2" s="15" t="s">
        <v>316</v>
      </c>
      <c r="D2" s="15" t="s">
        <v>402</v>
      </c>
      <c r="E2" s="15" t="s">
        <v>317</v>
      </c>
      <c r="F2" s="15"/>
      <c r="H2" s="15" t="s">
        <v>244</v>
      </c>
      <c r="I2" s="15" t="s">
        <v>402</v>
      </c>
      <c r="J2" s="15" t="s">
        <v>322</v>
      </c>
      <c r="K2" s="15"/>
      <c r="L2" s="15" t="s">
        <v>295</v>
      </c>
      <c r="M2" s="15"/>
      <c r="N2" s="166" t="s">
        <v>361</v>
      </c>
      <c r="O2" s="167"/>
      <c r="P2" s="167"/>
      <c r="Q2" s="167"/>
      <c r="R2" s="168"/>
    </row>
    <row r="3" spans="1:18" x14ac:dyDescent="0.2">
      <c r="A3" s="43">
        <v>27</v>
      </c>
      <c r="B3" s="43">
        <f>IFERROR(INDEX('GİRİŞ ANALİZİ'!$K:$K, MATCH($A3, 'GİRİŞ ANALİZİ'!$D:$D, 0)),"Bulunamadı")</f>
        <v>297</v>
      </c>
      <c r="C3" s="91">
        <f>IFERROR(INDEX('GİRİŞ ANALİZİ'!$N:$N, MATCH($A3, 'GİRİŞ ANALİZİ'!$D:$D, 0)),"Bulunamadı")</f>
        <v>6.9400000000000003E-2</v>
      </c>
      <c r="D3" s="126">
        <f>IFERROR(INDEX(D6:D14, MATCH($A3, A6:A14, 0)),"Bulunamadı")</f>
        <v>1000</v>
      </c>
      <c r="E3" s="43">
        <v>50</v>
      </c>
      <c r="F3" s="43">
        <f>E3/100</f>
        <v>0.5</v>
      </c>
      <c r="H3" s="95">
        <v>26</v>
      </c>
      <c r="I3" s="95">
        <f>9979-3000</f>
        <v>6979</v>
      </c>
      <c r="J3" s="95">
        <v>60</v>
      </c>
      <c r="K3" s="95"/>
      <c r="L3" s="124">
        <v>299.39999999999998</v>
      </c>
      <c r="M3" s="15" t="s">
        <v>127</v>
      </c>
      <c r="N3" s="15" t="s">
        <v>95</v>
      </c>
      <c r="O3" s="15" t="s">
        <v>362</v>
      </c>
      <c r="P3" s="111" t="s">
        <v>364</v>
      </c>
      <c r="Q3" s="111" t="s">
        <v>363</v>
      </c>
      <c r="R3" s="15" t="s">
        <v>365</v>
      </c>
    </row>
    <row r="4" spans="1:18" x14ac:dyDescent="0.2">
      <c r="A4" s="43">
        <v>30</v>
      </c>
      <c r="B4" s="43">
        <f>IFERROR(INDEX('GİRİŞ ANALİZİ'!$K:$K, MATCH($A4, 'GİRİŞ ANALİZİ'!$D:$D, 0)),"Bulunamadı")</f>
        <v>285</v>
      </c>
      <c r="C4" s="91">
        <f>IFERROR(INDEX('GİRİŞ ANALİZİ'!$N:$N, MATCH($A4, 'GİRİŞ ANALİZİ'!$D:$D, 0)),"Bulunamadı")</f>
        <v>6.7600000000000007E-2</v>
      </c>
      <c r="D4" s="126">
        <f>IFERROR(INDEX(D6:D14, MATCH($A4, A6:A14, 0)),"Bulunamadı")</f>
        <v>3600</v>
      </c>
      <c r="E4" s="43">
        <v>50</v>
      </c>
      <c r="F4" s="43">
        <f>E4/100</f>
        <v>0.5</v>
      </c>
      <c r="H4" s="95">
        <v>30</v>
      </c>
      <c r="I4" s="95">
        <f>6652-2000</f>
        <v>4652</v>
      </c>
      <c r="J4" s="95">
        <v>40</v>
      </c>
      <c r="K4" s="95"/>
      <c r="L4" s="125">
        <v>7.6999999999999999E-2</v>
      </c>
      <c r="M4" s="15" t="s">
        <v>316</v>
      </c>
      <c r="N4" s="120">
        <v>26</v>
      </c>
      <c r="O4" s="121">
        <v>9979.2000000000007</v>
      </c>
      <c r="P4" s="122">
        <v>0</v>
      </c>
      <c r="Q4" s="122">
        <f>1-P4</f>
        <v>1</v>
      </c>
      <c r="R4" s="121">
        <f>O4-(P4*O4)</f>
        <v>9979.2000000000007</v>
      </c>
    </row>
    <row r="5" spans="1:18" x14ac:dyDescent="0.2">
      <c r="A5" s="43"/>
      <c r="B5" s="43"/>
      <c r="C5" s="43"/>
      <c r="D5" s="126"/>
      <c r="E5" s="43"/>
      <c r="F5" s="43"/>
      <c r="H5" s="123"/>
      <c r="I5" s="123"/>
      <c r="J5" s="123"/>
      <c r="K5" s="123"/>
      <c r="L5" s="123"/>
      <c r="M5" s="15"/>
      <c r="N5" s="120">
        <v>27</v>
      </c>
      <c r="O5" s="121">
        <v>15694.56</v>
      </c>
      <c r="P5" s="122">
        <v>0</v>
      </c>
      <c r="Q5" s="122">
        <f t="shared" ref="Q5:Q16" si="0">1-P5</f>
        <v>1</v>
      </c>
      <c r="R5" s="121">
        <f t="shared" ref="R5:R6" si="1">O5-(P5*O5)</f>
        <v>15694.56</v>
      </c>
    </row>
    <row r="6" spans="1:18" x14ac:dyDescent="0.2">
      <c r="A6" s="139">
        <v>26</v>
      </c>
      <c r="B6" s="139">
        <f>IFERROR(INDEX('GİRİŞ ANALİZİ'!$K:$K, MATCH($A6, 'GİRİŞ ANALİZİ'!$D:$D, 0)),"Bulunamadı")</f>
        <v>309</v>
      </c>
      <c r="C6" s="140">
        <f>IFERROR(INDEX('GİRİŞ ANALİZİ'!$N:$N, MATCH($A6, 'GİRİŞ ANALİZİ'!$D:$D, 0)),"Bulunamadı")</f>
        <v>8.3299999999999999E-2</v>
      </c>
      <c r="D6" s="141">
        <v>3000</v>
      </c>
      <c r="E6" s="43"/>
      <c r="F6" s="43"/>
      <c r="H6" s="95">
        <v>27</v>
      </c>
      <c r="I6" s="95">
        <v>7364</v>
      </c>
      <c r="J6" s="95">
        <v>40</v>
      </c>
      <c r="K6" s="95"/>
      <c r="L6" s="124">
        <v>299.39999999999998</v>
      </c>
      <c r="M6" s="15" t="s">
        <v>127</v>
      </c>
      <c r="N6" s="120">
        <v>28</v>
      </c>
      <c r="O6" s="121">
        <v>3628.8</v>
      </c>
      <c r="P6" s="122">
        <v>1</v>
      </c>
      <c r="Q6" s="122">
        <f t="shared" si="0"/>
        <v>0</v>
      </c>
      <c r="R6" s="121">
        <f t="shared" si="1"/>
        <v>0</v>
      </c>
    </row>
    <row r="7" spans="1:18" x14ac:dyDescent="0.2">
      <c r="A7" s="43">
        <v>27</v>
      </c>
      <c r="B7" s="43">
        <f>IFERROR(INDEX('GİRİŞ ANALİZİ'!$K:$K, MATCH($A7, 'GİRİŞ ANALİZİ'!$D:$D, 0)),"Bulunamadı")</f>
        <v>297</v>
      </c>
      <c r="C7" s="91">
        <f>IFERROR(INDEX('GİRİŞ ANALİZİ'!$N:$N, MATCH($A7, 'GİRİŞ ANALİZİ'!$D:$D, 0)),"Bulunamadı")</f>
        <v>6.9400000000000003E-2</v>
      </c>
      <c r="D7" s="126">
        <v>1000</v>
      </c>
      <c r="E7" s="43"/>
      <c r="F7" s="43"/>
      <c r="H7" s="95">
        <v>29</v>
      </c>
      <c r="I7" s="95">
        <v>11045</v>
      </c>
      <c r="J7" s="95">
        <v>60</v>
      </c>
      <c r="K7" s="95"/>
      <c r="L7" s="125">
        <v>7.46E-2</v>
      </c>
      <c r="M7" s="15" t="s">
        <v>316</v>
      </c>
      <c r="N7" s="120">
        <v>29</v>
      </c>
      <c r="O7" s="121">
        <v>11045.16</v>
      </c>
      <c r="P7" s="122">
        <v>0</v>
      </c>
      <c r="Q7" s="122">
        <f t="shared" si="0"/>
        <v>1</v>
      </c>
      <c r="R7" s="121">
        <f>O7-(P7*O7)</f>
        <v>11045.16</v>
      </c>
    </row>
    <row r="8" spans="1:18" x14ac:dyDescent="0.2">
      <c r="A8" s="130">
        <v>28</v>
      </c>
      <c r="B8" s="130">
        <f>IFERROR(INDEX('GİRİŞ ANALİZİ'!$K:$K, MATCH($A8, 'GİRİŞ ANALİZİ'!$D:$D, 0)),"Bulunamadı")</f>
        <v>306</v>
      </c>
      <c r="C8" s="131">
        <f>IFERROR(INDEX('GİRİŞ ANALİZİ'!$N:$N, MATCH($A8, 'GİRİŞ ANALİZİ'!$D:$D, 0)),"Bulunamadı")</f>
        <v>8.9200000000000002E-2</v>
      </c>
      <c r="D8" s="132">
        <v>3628.8</v>
      </c>
      <c r="E8" s="43"/>
      <c r="F8" s="43"/>
      <c r="H8" s="123"/>
      <c r="I8" s="123"/>
      <c r="J8" s="123"/>
      <c r="K8" s="123"/>
      <c r="L8" s="123"/>
      <c r="M8" s="15"/>
      <c r="N8" s="120">
        <v>30</v>
      </c>
      <c r="O8" s="121">
        <v>14968.8</v>
      </c>
      <c r="P8" s="122">
        <v>0</v>
      </c>
      <c r="Q8" s="122">
        <f t="shared" si="0"/>
        <v>1</v>
      </c>
      <c r="R8" s="121">
        <f>O8-(P8*O8)</f>
        <v>14968.8</v>
      </c>
    </row>
    <row r="9" spans="1:18" x14ac:dyDescent="0.2">
      <c r="A9" s="127">
        <v>29</v>
      </c>
      <c r="B9" s="127">
        <f>IFERROR(INDEX('GİRİŞ ANALİZİ'!$K:$K, MATCH($A9, 'GİRİŞ ANALİZİ'!$D:$D, 0)),"Bulunamadı")</f>
        <v>301</v>
      </c>
      <c r="C9" s="128">
        <f>IFERROR(INDEX('GİRİŞ ANALİZİ'!$N:$N, MATCH($A9, 'GİRİŞ ANALİZİ'!$D:$D, 0)),"Bulunamadı")</f>
        <v>7.8E-2</v>
      </c>
      <c r="D9" s="129">
        <v>1500</v>
      </c>
      <c r="E9" s="43"/>
      <c r="F9" s="43"/>
      <c r="H9" s="95"/>
      <c r="I9" s="95"/>
      <c r="J9" s="95"/>
      <c r="K9" s="95"/>
      <c r="L9" s="124"/>
      <c r="M9" s="15" t="s">
        <v>127</v>
      </c>
      <c r="N9" s="120">
        <v>31</v>
      </c>
      <c r="O9" s="121">
        <v>24948</v>
      </c>
      <c r="P9" s="122"/>
      <c r="Q9" s="122">
        <f t="shared" si="0"/>
        <v>1</v>
      </c>
      <c r="R9" s="121">
        <f t="shared" ref="R9:R11" si="2">O9-(P9*O9)</f>
        <v>24948</v>
      </c>
    </row>
    <row r="10" spans="1:18" x14ac:dyDescent="0.2">
      <c r="A10" s="136">
        <v>30</v>
      </c>
      <c r="B10" s="136">
        <f>IFERROR(INDEX('GİRİŞ ANALİZİ'!$K:$K, MATCH($A10, 'GİRİŞ ANALİZİ'!$D:$D, 0)),"Bulunamadı")</f>
        <v>285</v>
      </c>
      <c r="C10" s="137">
        <f>IFERROR(INDEX('GİRİŞ ANALİZİ'!$N:$N, MATCH($A10, 'GİRİŞ ANALİZİ'!$D:$D, 0)),"Bulunamadı")</f>
        <v>6.7600000000000007E-2</v>
      </c>
      <c r="D10" s="138">
        <v>3600</v>
      </c>
      <c r="E10" s="136"/>
      <c r="F10" s="136"/>
      <c r="H10" s="95"/>
      <c r="I10" s="95"/>
      <c r="J10" s="95"/>
      <c r="K10" s="95"/>
      <c r="L10" s="125"/>
      <c r="M10" s="15" t="s">
        <v>316</v>
      </c>
      <c r="N10" s="120">
        <v>32</v>
      </c>
      <c r="O10" s="121">
        <v>24948</v>
      </c>
      <c r="P10" s="122"/>
      <c r="Q10" s="122">
        <f t="shared" si="0"/>
        <v>1</v>
      </c>
      <c r="R10" s="121">
        <v>19504.8</v>
      </c>
    </row>
    <row r="11" spans="1:18" x14ac:dyDescent="0.2">
      <c r="A11" s="133">
        <v>31</v>
      </c>
      <c r="B11" s="133">
        <f>IFERROR(INDEX('GİRİŞ ANALİZİ'!$K:$K, MATCH($A11, 'GİRİŞ ANALİZİ'!$D:$D, 0)),"Bulunamadı")</f>
        <v>305</v>
      </c>
      <c r="C11" s="134">
        <f>IFERROR(INDEX('GİRİŞ ANALİZİ'!$N:$N, MATCH($A11, 'GİRİŞ ANALİZİ'!$D:$D, 0)),"Bulunamadı")</f>
        <v>6.8400000000000002E-2</v>
      </c>
      <c r="D11" s="135">
        <v>24948</v>
      </c>
      <c r="E11" s="133" t="s">
        <v>403</v>
      </c>
      <c r="F11" s="133"/>
      <c r="H11" s="123"/>
      <c r="I11" s="123"/>
      <c r="J11" s="123"/>
      <c r="K11" s="123"/>
      <c r="L11" s="123"/>
      <c r="M11" s="15"/>
      <c r="N11" s="120">
        <v>34</v>
      </c>
      <c r="O11" s="121">
        <v>8618.4</v>
      </c>
      <c r="P11" s="122"/>
      <c r="Q11" s="122">
        <f t="shared" si="0"/>
        <v>1</v>
      </c>
      <c r="R11" s="121">
        <f t="shared" si="2"/>
        <v>8618.4</v>
      </c>
    </row>
    <row r="12" spans="1:18" x14ac:dyDescent="0.2">
      <c r="A12" s="133">
        <v>32</v>
      </c>
      <c r="B12" s="133">
        <f>IFERROR(INDEX('GİRİŞ ANALİZİ'!$K:$K, MATCH($A12, 'GİRİŞ ANALİZİ'!$D:$D, 0)),"Bulunamadı")</f>
        <v>312</v>
      </c>
      <c r="C12" s="134">
        <f>IFERROR(INDEX('GİRİŞ ANALİZİ'!$N:$N, MATCH($A12, 'GİRİŞ ANALİZİ'!$D:$D, 0)),"Bulunamadı")</f>
        <v>6.1100000000000002E-2</v>
      </c>
      <c r="D12" s="135">
        <v>24948</v>
      </c>
      <c r="E12" s="133" t="s">
        <v>403</v>
      </c>
      <c r="F12" s="133"/>
      <c r="H12" s="95"/>
      <c r="I12" s="95"/>
      <c r="J12" s="95"/>
      <c r="K12" s="95"/>
      <c r="L12" s="124"/>
      <c r="M12" s="15" t="s">
        <v>127</v>
      </c>
      <c r="N12" s="120">
        <v>35</v>
      </c>
      <c r="O12" s="121">
        <v>24948</v>
      </c>
      <c r="P12" s="122"/>
      <c r="Q12" s="122">
        <f t="shared" si="0"/>
        <v>1</v>
      </c>
      <c r="R12" s="121">
        <f t="shared" ref="R12:R16" si="3">O12-(P12*O12)</f>
        <v>24948</v>
      </c>
    </row>
    <row r="13" spans="1:18" x14ac:dyDescent="0.2">
      <c r="A13" s="133" t="s">
        <v>404</v>
      </c>
      <c r="B13" s="133" t="str">
        <f>IFERROR(INDEX('GİRİŞ ANALİZİ'!$K:$K, MATCH($A13, 'GİRİŞ ANALİZİ'!$D:$D, 0)),"Bulunamadı")</f>
        <v>Bulunamadı</v>
      </c>
      <c r="C13" s="134" t="str">
        <f>IFERROR(INDEX('GİRİŞ ANALİZİ'!$N:$N, MATCH($A13, 'GİRİŞ ANALİZİ'!$D:$D, 0)),"Bulunamadı")</f>
        <v>Bulunamadı</v>
      </c>
      <c r="D13" s="135">
        <f>8618.4*2</f>
        <v>17236.8</v>
      </c>
      <c r="E13" s="133" t="s">
        <v>403</v>
      </c>
      <c r="F13" s="133"/>
      <c r="H13" s="95"/>
      <c r="I13" s="95"/>
      <c r="J13" s="95"/>
      <c r="K13" s="95"/>
      <c r="L13" s="125"/>
      <c r="M13" s="15" t="s">
        <v>316</v>
      </c>
      <c r="N13" s="114"/>
      <c r="O13" s="95"/>
      <c r="P13" s="113"/>
      <c r="Q13" s="113">
        <f t="shared" si="0"/>
        <v>1</v>
      </c>
      <c r="R13" s="112">
        <f t="shared" si="3"/>
        <v>0</v>
      </c>
    </row>
    <row r="14" spans="1:18" x14ac:dyDescent="0.2">
      <c r="A14" s="133">
        <v>35</v>
      </c>
      <c r="B14" s="133">
        <f>IFERROR(INDEX('GİRİŞ ANALİZİ'!$K:$K, MATCH($A14, 'GİRİŞ ANALİZİ'!$D:$D, 0)),"Bulunamadı")</f>
        <v>310</v>
      </c>
      <c r="C14" s="134">
        <f>IFERROR(INDEX('GİRİŞ ANALİZİ'!$N:$N, MATCH($A14, 'GİRİŞ ANALİZİ'!$D:$D, 0)),"Bulunamadı")</f>
        <v>8.1299999999999997E-2</v>
      </c>
      <c r="D14" s="135">
        <v>24948</v>
      </c>
      <c r="E14" s="133" t="s">
        <v>403</v>
      </c>
      <c r="F14" s="133"/>
      <c r="H14" s="123"/>
      <c r="I14" s="123"/>
      <c r="J14" s="123"/>
      <c r="K14" s="123"/>
      <c r="L14" s="123"/>
      <c r="M14" s="15"/>
      <c r="N14" s="114"/>
      <c r="O14" s="95"/>
      <c r="P14" s="113"/>
      <c r="Q14" s="113">
        <f t="shared" si="0"/>
        <v>1</v>
      </c>
      <c r="R14" s="112">
        <f t="shared" si="3"/>
        <v>0</v>
      </c>
    </row>
    <row r="15" spans="1:18" x14ac:dyDescent="0.2">
      <c r="A15" s="15" t="s">
        <v>290</v>
      </c>
      <c r="B15" s="15"/>
      <c r="C15" s="15"/>
      <c r="D15" s="15">
        <f>E3+E4</f>
        <v>100</v>
      </c>
      <c r="E15" s="15">
        <f>F3+F4</f>
        <v>1</v>
      </c>
      <c r="H15" s="95"/>
      <c r="I15" s="95"/>
      <c r="J15" s="95"/>
      <c r="K15" s="95"/>
      <c r="L15" s="124"/>
      <c r="M15" s="15" t="s">
        <v>127</v>
      </c>
      <c r="N15" s="114"/>
      <c r="O15" s="95"/>
      <c r="P15" s="113"/>
      <c r="Q15" s="113">
        <f t="shared" si="0"/>
        <v>1</v>
      </c>
      <c r="R15" s="112">
        <f t="shared" si="3"/>
        <v>0</v>
      </c>
    </row>
    <row r="16" spans="1:18" x14ac:dyDescent="0.2">
      <c r="D16" s="115" t="s">
        <v>318</v>
      </c>
      <c r="E16" s="116"/>
      <c r="H16" s="95"/>
      <c r="I16" s="95"/>
      <c r="J16" s="95"/>
      <c r="K16" s="95"/>
      <c r="L16" s="125"/>
      <c r="M16" s="15" t="s">
        <v>316</v>
      </c>
      <c r="N16" s="114"/>
      <c r="O16" s="95"/>
      <c r="P16" s="113"/>
      <c r="Q16" s="113">
        <f t="shared" si="0"/>
        <v>1</v>
      </c>
      <c r="R16" s="112">
        <f t="shared" si="3"/>
        <v>0</v>
      </c>
    </row>
    <row r="17" spans="4:13" x14ac:dyDescent="0.2">
      <c r="D17" s="15" t="s">
        <v>319</v>
      </c>
      <c r="E17" s="43">
        <f>(B3*F3)+(B4*F4)</f>
        <v>291</v>
      </c>
      <c r="H17" s="123"/>
      <c r="I17" s="123"/>
      <c r="J17" s="123"/>
      <c r="K17" s="123"/>
      <c r="L17" s="123"/>
      <c r="M17" s="15"/>
    </row>
    <row r="18" spans="4:13" x14ac:dyDescent="0.2">
      <c r="D18" s="15" t="s">
        <v>320</v>
      </c>
      <c r="E18" s="91">
        <f>(C3*F3)+(C4*F4)</f>
        <v>6.8500000000000005E-2</v>
      </c>
      <c r="H18" s="95"/>
      <c r="I18" s="95"/>
      <c r="J18" s="95"/>
      <c r="K18" s="95"/>
      <c r="L18" s="124"/>
      <c r="M18" s="15" t="s">
        <v>127</v>
      </c>
    </row>
    <row r="19" spans="4:13" x14ac:dyDescent="0.2">
      <c r="H19" s="95"/>
      <c r="I19" s="95"/>
      <c r="J19" s="95"/>
      <c r="K19" s="95"/>
      <c r="L19" s="125"/>
      <c r="M19" s="15" t="s">
        <v>316</v>
      </c>
    </row>
    <row r="20" spans="4:13" x14ac:dyDescent="0.2">
      <c r="H20" s="123"/>
      <c r="I20" s="123"/>
      <c r="J20" s="123"/>
      <c r="K20" s="123"/>
      <c r="L20" s="123"/>
      <c r="M20" s="15"/>
    </row>
    <row r="21" spans="4:13" x14ac:dyDescent="0.2">
      <c r="H21" s="95"/>
      <c r="I21" s="95"/>
      <c r="J21" s="95"/>
      <c r="K21" s="95"/>
      <c r="L21" s="124"/>
      <c r="M21" s="15" t="s">
        <v>127</v>
      </c>
    </row>
    <row r="22" spans="4:13" x14ac:dyDescent="0.2">
      <c r="H22" s="95"/>
      <c r="I22" s="95"/>
      <c r="J22" s="95"/>
      <c r="K22" s="95"/>
      <c r="L22" s="125"/>
      <c r="M22" s="15" t="s">
        <v>316</v>
      </c>
    </row>
  </sheetData>
  <mergeCells count="1">
    <mergeCell ref="N2:R2"/>
  </mergeCells>
  <conditionalFormatting sqref="A3:A4">
    <cfRule type="expression" dxfId="28" priority="30">
      <formula>$AE3="Yüklenmedi"</formula>
    </cfRule>
    <cfRule type="expression" dxfId="27" priority="31">
      <formula>$AE3="Antrepoda"</formula>
    </cfRule>
    <cfRule type="expression" dxfId="26" priority="32">
      <formula>$AE3="Yolda"</formula>
    </cfRule>
    <cfRule type="expression" dxfId="25" priority="33">
      <formula>$AE3="İçeri Çekildi"</formula>
    </cfRule>
  </conditionalFormatting>
  <conditionalFormatting sqref="A6:C14">
    <cfRule type="expression" dxfId="24" priority="34">
      <formula>$AE3="Yüklenmedi"</formula>
    </cfRule>
    <cfRule type="expression" dxfId="23" priority="35">
      <formula>$AE3="Antrepoda"</formula>
    </cfRule>
    <cfRule type="expression" dxfId="22" priority="36">
      <formula>$AE3="Yolda"</formula>
    </cfRule>
    <cfRule type="expression" dxfId="21" priority="37">
      <formula>$AE3="İçeri Çekildi"</formula>
    </cfRule>
  </conditionalFormatting>
  <conditionalFormatting sqref="A5:D5">
    <cfRule type="expression" dxfId="20" priority="5">
      <formula>$AE5="Yüklenmedi"</formula>
    </cfRule>
    <cfRule type="expression" dxfId="19" priority="6">
      <formula>$AE5="Antrepoda"</formula>
    </cfRule>
    <cfRule type="expression" dxfId="18" priority="7">
      <formula>$AE5="Yolda"</formula>
    </cfRule>
    <cfRule type="expression" dxfId="17" priority="8">
      <formula>$AE5="İçeri Çekildi"</formula>
    </cfRule>
  </conditionalFormatting>
  <conditionalFormatting sqref="B3:D4">
    <cfRule type="expression" dxfId="16" priority="9">
      <formula>$AC1048576="Yüklenmedi"</formula>
    </cfRule>
    <cfRule type="expression" dxfId="15" priority="10">
      <formula>$AC1048576="Antrepoda"</formula>
    </cfRule>
    <cfRule type="expression" dxfId="14" priority="11">
      <formula>$AC1048576="Yolda"</formula>
    </cfRule>
    <cfRule type="expression" dxfId="13" priority="12">
      <formula>$AC1048576="İçeri Çekildi"</formula>
    </cfRule>
  </conditionalFormatting>
  <conditionalFormatting sqref="D6:D14">
    <cfRule type="expression" dxfId="12" priority="1">
      <formula>$AE6="Yüklenmedi"</formula>
    </cfRule>
    <cfRule type="expression" dxfId="11" priority="2">
      <formula>$AE6="Antrepoda"</formula>
    </cfRule>
    <cfRule type="expression" dxfId="10" priority="3">
      <formula>$AE6="Yolda"</formula>
    </cfRule>
    <cfRule type="expression" dxfId="9" priority="4">
      <formula>$AE6="İçeri Çekildi"</formula>
    </cfRule>
  </conditionalFormatting>
  <conditionalFormatting sqref="D15">
    <cfRule type="cellIs" dxfId="8" priority="25" operator="greaterThan">
      <formula>100</formula>
    </cfRule>
  </conditionalFormatting>
  <conditionalFormatting sqref="E17:E18">
    <cfRule type="expression" dxfId="7" priority="26">
      <formula>$AE12="Yüklenmedi"</formula>
    </cfRule>
    <cfRule type="expression" dxfId="6" priority="27">
      <formula>$AE12="Antrepoda"</formula>
    </cfRule>
    <cfRule type="expression" dxfId="5" priority="28">
      <formula>$AE12="Yolda"</formula>
    </cfRule>
    <cfRule type="expression" dxfId="4" priority="29">
      <formula>$AE12="İçeri Çekildi"</formula>
    </cfRule>
  </conditionalFormatting>
  <conditionalFormatting sqref="E3:F14">
    <cfRule type="expression" dxfId="3" priority="21">
      <formula>$AE3="Yüklenmedi"</formula>
    </cfRule>
    <cfRule type="expression" dxfId="2" priority="22">
      <formula>$AE3="Antrepoda"</formula>
    </cfRule>
    <cfRule type="expression" dxfId="1" priority="23">
      <formula>$AE3="Yolda"</formula>
    </cfRule>
    <cfRule type="expression" dxfId="0" priority="24">
      <formula>$AE3="İçeri Çekildi"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8</vt:i4>
      </vt:variant>
      <vt:variant>
        <vt:lpstr>Adlandırılmış Aralıklar</vt:lpstr>
      </vt:variant>
      <vt:variant>
        <vt:i4>3</vt:i4>
      </vt:variant>
    </vt:vector>
  </HeadingPairs>
  <TitlesOfParts>
    <vt:vector size="11" baseType="lpstr">
      <vt:lpstr>ÖZET</vt:lpstr>
      <vt:lpstr>SATIN ALMA</vt:lpstr>
      <vt:lpstr>ANTREPO</vt:lpstr>
      <vt:lpstr>HENDEK-3</vt:lpstr>
      <vt:lpstr>ÜRETİM</vt:lpstr>
      <vt:lpstr>GİRİŞ ANALİZİ</vt:lpstr>
      <vt:lpstr>ÇIKIŞ ANALİZİ</vt:lpstr>
      <vt:lpstr>HARMAN</vt:lpstr>
      <vt:lpstr>'SATIN ALMA'!Yazdırma_Alanı</vt:lpstr>
      <vt:lpstr>'ÇIKIŞ ANALİZİ'!Yazdırma_Başlıkları</vt:lpstr>
      <vt:lpstr>'GİRİŞ ANALİZİ'!Yazdırma_Başlıkları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FRİSBY</dc:creator>
  <cp:lastModifiedBy>Fatih Başkaya</cp:lastModifiedBy>
  <cp:lastPrinted>2024-09-26T07:07:02Z</cp:lastPrinted>
  <dcterms:created xsi:type="dcterms:W3CDTF">2016-10-01T09:09:49Z</dcterms:created>
  <dcterms:modified xsi:type="dcterms:W3CDTF">2026-01-03T01:02:12Z</dcterms:modified>
</cp:coreProperties>
</file>